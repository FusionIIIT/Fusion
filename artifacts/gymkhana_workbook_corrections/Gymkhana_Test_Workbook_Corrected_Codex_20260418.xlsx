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164e6b909b4c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ule_Test_Summary" sheetId="1" r:id="R7da5a03c1eef4d55"/>
    <x:sheet xmlns:r="http://schemas.openxmlformats.org/officeDocument/2006/relationships" name="UC_Test_Design" sheetId="2" r:id="R38d26ee7800040a3"/>
    <x:sheet xmlns:r="http://schemas.openxmlformats.org/officeDocument/2006/relationships" name="BR_Test_Design" sheetId="3" r:id="R0d4d0286ef95441a"/>
    <x:sheet xmlns:r="http://schemas.openxmlformats.org/officeDocument/2006/relationships" name="WF_Test_Design" sheetId="4" r:id="Rcca9a601282640f5"/>
    <x:sheet xmlns:r="http://schemas.openxmlformats.org/officeDocument/2006/relationships" name="Test_Execution_Log" sheetId="5" r:id="R22dc2527bf814ed4"/>
    <x:sheet xmlns:r="http://schemas.openxmlformats.org/officeDocument/2006/relationships" name="Defect_Log" sheetId="6" r:id="R06d94f5d149a4a4c"/>
    <x:sheet xmlns:r="http://schemas.openxmlformats.org/officeDocument/2006/relationships" name="Artifact_Evaluation" sheetId="7" r:id="R68da8f2cbfc142e9"/>
  </x:sheets>
</x:workbook>
</file>

<file path=xl/sharedStrings.xml><?xml version="1.0" encoding="utf-8"?>
<x:sst xmlns:x="http://schemas.openxmlformats.org/spreadsheetml/2006/main">
  <x:si>
    <x:t xml:space="preserve">GYMKHANA MODULE — TEST SUMMARY</x:t>
  </x:si>
  <x:si>
    <x:t xml:space="preserve">Metric</x:t>
  </x:si>
  <x:si>
    <x:t xml:space="preserve">Value</x:t>
  </x:si>
  <x:si>
    <x:t xml:space="preserve">Module</x:t>
  </x:si>
  <x:si>
    <x:t xml:space="preserve">Gymkhana</x:t>
  </x:si>
  <x:si>
    <x:t xml:space="preserve">LLM Used for Test Gen</x:t>
  </x:si>
  <x:si>
    <x:t xml:space="preserve">Claude Haiku 4.5</x:t>
  </x:si>
  <x:si>
    <x:t xml:space="preserve">Total Use Cases</x:t>
  </x:si>
  <x:si>
    <x:t xml:space="preserve">Total Business Rules</x:t>
  </x:si>
  <x:si>
    <x:t xml:space="preserve">Total Workflows</x:t>
  </x:si>
  <x:si>
    <x:t xml:space="preserve">Required UC Tests (3×UCs)</x:t>
  </x:si>
  <x:si>
    <x:t xml:space="preserve">Designed UC Tests</x:t>
  </x:si>
  <x:si>
    <x:t xml:space="preserve">Required BR Tests (2×BRs)</x:t>
  </x:si>
  <x:si>
    <x:t xml:space="preserve">Designed BR Tests</x:t>
  </x:si>
  <x:si>
    <x:t xml:space="preserve">Required WF Tests (2×WFs)</x:t>
  </x:si>
  <x:si>
    <x:t xml:space="preserve">Designed WF Tests</x:t>
  </x:si>
  <x:si>
    <x:t xml:space="preserve">UC Adequacy %</x:t>
  </x:si>
  <x:si>
    <x:t xml:space="preserve">BR Adequacy %</x:t>
  </x:si>
  <x:si>
    <x:t xml:space="preserve">WF Adequacy %</x:t>
  </x:si>
  <x:si>
    <x:t xml:space="preserve">Total Tests Designed</x:t>
  </x:si>
  <x:si>
    <x:t xml:space="preserve">Total Tests Executed</x:t>
  </x:si>
  <x:si>
    <x:t xml:space="preserve">Total Pass</x:t>
  </x:si>
  <x:si>
    <x:t xml:space="preserve">Total Partial</x:t>
  </x:si>
  <x:si>
    <x:t xml:space="preserve">Total Fail</x:t>
  </x:si>
  <x:si>
    <x:t xml:space="preserve">Strict Pass Rate %</x:t>
  </x:si>
  <x:si>
    <x:t xml:space="preserve">Test ID</x:t>
  </x:si>
  <x:si>
    <x:t xml:space="preserve">UC ID</x:t>
  </x:si>
  <x:si>
    <x:t xml:space="preserve">Test Category</x:t>
  </x:si>
  <x:si>
    <x:t xml:space="preserve">Scenario</x:t>
  </x:si>
  <x:si>
    <x:t xml:space="preserve">Preconditions</x:t>
  </x:si>
  <x:si>
    <x:t xml:space="preserve">Input / Action</x:t>
  </x:si>
  <x:si>
    <x:t xml:space="preserve">Expected Result</x:t>
  </x:si>
  <x:si>
    <x:t xml:space="preserve">UC-T001</x:t>
  </x:si>
  <x:si>
    <x:t xml:space="preserve">UC001</x:t>
  </x:si>
  <x:si>
    <x:t xml:space="preserve">Happy Path</x:t>
  </x:si>
  <x:si>
    <x:t xml:space="preserve">Create club with valid coordinator, faculty, and details</x:t>
  </x:si>
  <x:si>
    <x:t xml:space="preserve">Admin authenticated; valid student and faculty exist</x:t>
  </x:si>
  <x:si>
    <x:t xml:space="preserve">Club_info record created with status='open'; redirect to /gymkhana/</x:t>
  </x:si>
  <x:si>
    <x:t xml:space="preserve">UC-T002</x:t>
  </x:si>
  <x:si>
    <x:t xml:space="preserve">Alternate Path</x:t>
  </x:si>
  <x:si>
    <x:t xml:space="preserve">Create club with non-existent student coordinator</x:t>
  </x:si>
  <x:si>
    <x:t xml:space="preserve">Admin authenticated; specified student id does NOT exist</x:t>
  </x:si>
  <x:si>
    <x:t xml:space="preserve">Error returned: 'The entered roll number of the co_ordinator does not exist'</x:t>
  </x:si>
  <x:si>
    <x:t xml:space="preserve">UC-T003</x:t>
  </x:si>
  <x:si>
    <x:t xml:space="preserve">Create club with non-existent co-coordinator</x:t>
  </x:si>
  <x:si>
    <x:t xml:space="preserve">Admin authenticated; co-coordinator student id does NOT exist</x:t>
  </x:si>
  <x:si>
    <x:t xml:space="preserve">Error: 'The entered roll number of the co_coordinator does not exist'</x:t>
  </x:si>
  <x:si>
    <x:t xml:space="preserve">UC-T004</x:t>
  </x:si>
  <x:si>
    <x:t xml:space="preserve">Create club with non-existent faculty incharge</x:t>
  </x:si>
  <x:si>
    <x:t xml:space="preserve">Admin authenticated; faculty name not in Faculty table</x:t>
  </x:si>
  <x:si>
    <x:t xml:space="preserve">Error: 'The entered faculty incharge does not exist'</x:t>
  </x:si>
  <x:si>
    <x:t xml:space="preserve">UC-T005</x:t>
  </x:si>
  <x:si>
    <x:t xml:space="preserve">Exception</x:t>
  </x:si>
  <x:si>
    <x:t xml:space="preserve">Unauthenticated user attempts club creation</x:t>
  </x:si>
  <x:si>
    <x:t xml:space="preserve">User NOT authenticated</x:t>
  </x:si>
  <x:si>
    <x:t xml:space="preserve">POST /gymkhana/new_club/ (no session cookie)</x:t>
  </x:si>
  <x:si>
    <x:t xml:space="preserve">Redirect to login or HTTP 403 Forbidden</x:t>
  </x:si>
  <x:si>
    <x:t xml:space="preserve">UC-T006</x:t>
  </x:si>
  <x:si>
    <x:t xml:space="preserve">UC002</x:t>
  </x:si>
  <x:si>
    <x:t xml:space="preserve">Book session with no conflicting slot</x:t>
  </x:si>
  <x:si>
    <x:t xml:space="preserve">Authenticated as club coordinator; venue and date free</x:t>
  </x:si>
  <x:si>
    <x:t xml:space="preserve">Session_info record created; JSON {status:'success', message:'Session booked Successfully'}</x:t>
  </x:si>
  <x:si>
    <x:t xml:space="preserve">UC-T007</x:t>
  </x:si>
  <x:si>
    <x:t xml:space="preserve">Book session with overlapping time in same venue</x:t>
  </x:si>
  <x:si>
    <x:t xml:space="preserve">Error: 'The selected time slot conflicts with already booked session'</x:t>
  </x:si>
  <x:si>
    <x:t xml:space="preserve">UC-T008</x:t>
  </x:si>
  <x:si>
    <x:t xml:space="preserve">Club head books session without being coordinator</x:t>
  </x:si>
  <x:si>
    <x:t xml:space="preserve">Authenticated as regular student (not coordinator of any club)</x:t>
  </x:si>
  <x:si>
    <x:t xml:space="preserve">POST /gymkhana/new_session/ {valid data}</x:t>
  </x:si>
  <x:si>
    <x:t xml:space="preserve">UC-T009</x:t>
  </x:si>
  <x:si>
    <x:t xml:space="preserve">UC003</x:t>
  </x:si>
  <x:si>
    <x:t xml:space="preserve">Book club event with valid data and no conflicts</x:t>
  </x:si>
  <x:si>
    <x:t xml:space="preserve">Authenticated as club head; venue free on given date/time</x:t>
  </x:si>
  <x:si>
    <x:t xml:space="preserve">Event_info record created; message: 'Form dispatched for further process'</x:t>
  </x:si>
  <x:si>
    <x:t xml:space="preserve">UC-T010</x:t>
  </x:si>
  <x:si>
    <x:t xml:space="preserve">Book event with overlapping time at same venue</x:t>
  </x:si>
  <x:si>
    <x:t xml:space="preserve">Error: 'Selected time slot conflicts with already booked session'</x:t>
  </x:si>
  <x:si>
    <x:t xml:space="preserve">UC-T011</x:t>
  </x:si>
  <x:si>
    <x:t xml:space="preserve">Non-coordinator attempts event booking</x:t>
  </x:si>
  <x:si>
    <x:t xml:space="preserve">Authenticated as regular student</x:t>
  </x:si>
  <x:si>
    <x:t xml:space="preserve">POST /gymkhana/new_event/ {valid data}</x:t>
  </x:si>
  <x:si>
    <x:t xml:space="preserve">UC-T012</x:t>
  </x:si>
  <x:si>
    <x:t xml:space="preserve">UC004</x:t>
  </x:si>
  <x:si>
    <x:t xml:space="preserve">Student applies to an existing club</x:t>
  </x:si>
  <x:si>
    <x:t xml:space="preserve">Student authenticated; club 'CodeHub' exists with status='open'</x:t>
  </x:si>
  <x:si>
    <x:t xml:space="preserve">POST /gymkhana/club_membership/ {user_name:'101 - john', club:'CodeHub', achievements:'Won hackathon'}</x:t>
  </x:si>
  <x:si>
    <x:t xml:space="preserve">Club_member created with status='open'; JSON {status:'success', message:'Form dispatched for further process'}</x:t>
  </x:si>
  <x:si>
    <x:t xml:space="preserve">UC-T013</x:t>
  </x:si>
  <x:si>
    <x:t xml:space="preserve">Student submits duplicate application to same club</x:t>
  </x:si>
  <x:si>
    <x:t xml:space="preserve">Student already has Club_member record for 'CodeHub'</x:t>
  </x:si>
  <x:si>
    <x:t xml:space="preserve">POST /gymkhana/club_membership/ {user_name:'101 - john', club:'CodeHub', achievements:'again'}</x:t>
  </x:si>
  <x:si>
    <x:t xml:space="preserve">IntegrityError caught; response: 'Some error occurred'</x:t>
  </x:si>
  <x:si>
    <x:t xml:space="preserve">UC-T014</x:t>
  </x:si>
  <x:si>
    <x:t xml:space="preserve">Apply to non-existent club</x:t>
  </x:si>
  <x:si>
    <x:t xml:space="preserve">Student authenticated; club 'XYZ' does not exist</x:t>
  </x:si>
  <x:si>
    <x:t xml:space="preserve">POST /gymkhana/club_membership/ {club:'NonExistentClub', ...}</x:t>
  </x:si>
  <x:si>
    <x:t xml:space="preserve">404 or error response: club not found</x:t>
  </x:si>
  <x:si>
    <x:t xml:space="preserve">UC-T015</x:t>
  </x:si>
  <x:si>
    <x:t xml:space="preserve">UC005</x:t>
  </x:si>
  <x:si>
    <x:t xml:space="preserve">Club head approves pending membership applications</x:t>
  </x:si>
  <x:si>
    <x:t xml:space="preserve">Authenticated as club head; pending applications exist with status='open'</x:t>
  </x:si>
  <x:si>
    <x:t xml:space="preserve">POST /gymkhana/approve/ {check:['101 - john,CodeHub'], remarks['john']:'Good student'}</x:t>
  </x:si>
  <x:si>
    <x:t xml:space="preserve">Club_member.status updated to 'confirmed'; message: 'Successfully Approved !!!'</x:t>
  </x:si>
  <x:si>
    <x:t xml:space="preserve">UC-T016</x:t>
  </x:si>
  <x:si>
    <x:t xml:space="preserve">Approve with empty remarks</x:t>
  </x:si>
  <x:si>
    <x:t xml:space="preserve">Authenticated as club head; pending application exists</x:t>
  </x:si>
  <x:si>
    <x:t xml:space="preserve">POST /gymkhana/approve/ {check:['101 - john,CodeHub'], remarks:{'john':''}}</x:t>
  </x:si>
  <x:si>
    <x:t xml:space="preserve">Application approved with blank remarks; status set to 'confirmed'</x:t>
  </x:si>
  <x:si>
    <x:t xml:space="preserve">UC-T017</x:t>
  </x:si>
  <x:si>
    <x:t xml:space="preserve">Non-club-head attempts approval</x:t>
  </x:si>
  <x:si>
    <x:t xml:space="preserve">Authenticated as regular student (not coordinator)</x:t>
  </x:si>
  <x:si>
    <x:t xml:space="preserve">POST /gymkhana/approve/ {check:[...]}</x:t>
  </x:si>
  <x:si>
    <x:t xml:space="preserve">UC-T018</x:t>
  </x:si>
  <x:si>
    <x:t xml:space="preserve">UC006</x:t>
  </x:si>
  <x:si>
    <x:t xml:space="preserve">Create voting poll with 3 choices targeting two groups</x:t>
  </x:si>
  <x:si>
    <x:t xml:space="preserve">Authenticated as club head</x:t>
  </x:si>
  <x:si>
    <x:t xml:space="preserve">POST /gymkhana/voting_poll/ {title:'Best Tech', desc:'Vote!', choices:['AI','ML','DS'], expire_date:'2025-12-31', groups:['2022:CSE','2022:All']}</x:t>
  </x:si>
  <x:si>
    <x:t xml:space="preserve">Voting_polls created; 3 Voting_choices created with votes=0; notifications sent</x:t>
  </x:si>
  <x:si>
    <x:t xml:space="preserve">UC-T019</x:t>
  </x:si>
  <x:si>
    <x:t xml:space="preserve">Create poll with only 1 choice</x:t>
  </x:si>
  <x:si>
    <x:t xml:space="preserve">POST /gymkhana/voting_poll/ {choices:['OnlyOne'], ...}</x:t>
  </x:si>
  <x:si>
    <x:t xml:space="preserve">UC-T020</x:t>
  </x:si>
  <x:si>
    <x:t xml:space="preserve">Non-head creates voting poll</x:t>
  </x:si>
  <x:si>
    <x:t xml:space="preserve">POST /gymkhana/voting_poll/ {valid data}</x:t>
  </x:si>
  <x:si>
    <x:t xml:space="preserve">UC-T021</x:t>
  </x:si>
  <x:si>
    <x:t xml:space="preserve">UC007</x:t>
  </x:si>
  <x:si>
    <x:t xml:space="preserve">Student votes on an active poll</x:t>
  </x:si>
  <x:si>
    <x:t xml:space="preserve">Student authenticated; poll active; student in target group; not yet voted</x:t>
  </x:si>
  <x:si>
    <x:t xml:space="preserve">POST /gymkhana/{poll_id}/ {choice:&lt;choice_id&gt;}</x:t>
  </x:si>
  <x:si>
    <x:t xml:space="preserve">Voting_choices.votes incremented by 1; Voting_voters record created; redirect to /gymkhana/</x:t>
  </x:si>
  <x:si>
    <x:t xml:space="preserve">UC-T022</x:t>
  </x:si>
  <x:si>
    <x:t xml:space="preserve">Student attempts to vote twice on same poll</x:t>
  </x:si>
  <x:si>
    <x:t xml:space="preserve">Student already has Voting_voters record for this poll</x:t>
  </x:si>
  <x:si>
    <x:t xml:space="preserve">IntegrityError caught; response: 'error'</x:t>
  </x:si>
  <x:si>
    <x:t xml:space="preserve">UC-T023</x:t>
  </x:si>
  <x:si>
    <x:t xml:space="preserve">Vote on non-existent poll</x:t>
  </x:si>
  <x:si>
    <x:t xml:space="preserve">Student authenticated</x:t>
  </x:si>
  <x:si>
    <x:t xml:space="preserve">POST /gymkhana/99999/ {choice:1}</x:t>
  </x:si>
  <x:si>
    <x:t xml:space="preserve">404 Not Found</x:t>
  </x:si>
  <x:si>
    <x:t xml:space="preserve">UC-T024</x:t>
  </x:si>
  <x:si>
    <x:t xml:space="preserve">UC008</x:t>
  </x:si>
  <x:si>
    <x:t xml:space="preserve">Current head changes coordinator and co-coordinator</x:t>
  </x:si>
  <x:si>
    <x:t xml:space="preserve">Authenticated as current coordinator; new students exist</x:t>
  </x:si>
  <x:si>
    <x:t xml:space="preserve">POST /gymkhana/change_head/ {club:'CodeHub', co:'newuser1', coco:'newuser2', date:'2025-06-01', time:'09:00'}</x:t>
  </x:si>
  <x:si>
    <x:t xml:space="preserve">Club_info updated; HoldsDesignation created for new heads, deleted for old; message: 'Successfully changed !!!'</x:t>
  </x:si>
  <x:si>
    <x:t xml:space="preserve">UC-T025</x:t>
  </x:si>
  <x:si>
    <x:t xml:space="preserve">Change head with non-existent new coordinator username</x:t>
  </x:si>
  <x:si>
    <x:t xml:space="preserve">Authenticated as current head; 'nonexistuser' not in Student table</x:t>
  </x:si>
  <x:si>
    <x:t xml:space="preserve">POST /gymkhana/change_head/ {co:'nonexistuser', ...}</x:t>
  </x:si>
  <x:si>
    <x:t xml:space="preserve">Error or 404; leadership unchanged</x:t>
  </x:si>
  <x:si>
    <x:t xml:space="preserve">UC-T026</x:t>
  </x:si>
  <x:si>
    <x:t xml:space="preserve">Non-coordinator attempts to change club leadership</x:t>
  </x:si>
  <x:si>
    <x:t xml:space="preserve">POST /gymkhana/change_head/ {valid data}</x:t>
  </x:si>
  <x:si>
    <x:t xml:space="preserve">Unauthorized; error or redirect</x:t>
  </x:si>
  <x:si>
    <x:t xml:space="preserve">UC-T027</x:t>
  </x:si>
  <x:si>
    <x:t xml:space="preserve">UC009</x:t>
  </x:si>
  <x:si>
    <x:t xml:space="preserve">Club head requests budget with file and valid amount</x:t>
  </x:si>
  <x:si>
    <x:t xml:space="preserve">Authenticated as club head; club exists</x:t>
  </x:si>
  <x:si>
    <x:t xml:space="preserve">Club_budget created with status='open'; message: 'Successfully requested for the budget !!!'</x:t>
  </x:si>
  <x:si>
    <x:t xml:space="preserve">UC-T028</x:t>
  </x:si>
  <x:si>
    <x:t xml:space="preserve">Request budget with amount = 0</x:t>
  </x:si>
  <x:si>
    <x:t xml:space="preserve">Club_budget created (0 is valid per BR015)</x:t>
  </x:si>
  <x:si>
    <x:t xml:space="preserve">UC-T029</x:t>
  </x:si>
  <x:si>
    <x:t xml:space="preserve">Request budget without attaching a file</x:t>
  </x:si>
  <x:si>
    <x:t xml:space="preserve">POST /gymkhana/club_budget/ {budget_amt:1000, ...} (no file)</x:t>
  </x:si>
  <x:si>
    <x:t xml:space="preserve">Error: budget file required (BR016); record NOT created</x:t>
  </x:si>
  <x:si>
    <x:t xml:space="preserve">UC-T030</x:t>
  </x:si>
  <x:si>
    <x:t xml:space="preserve">UC010</x:t>
  </x:si>
  <x:si>
    <x:t xml:space="preserve">Club head submits event report with file</x:t>
  </x:si>
  <x:si>
    <x:t xml:space="preserve">Authenticated as club head; event exists</x:t>
  </x:si>
  <x:si>
    <x:t xml:space="preserve">UC-T031</x:t>
  </x:si>
  <x:si>
    <x:t xml:space="preserve">Submit report with combined date+time string</x:t>
  </x:si>
  <x:si>
    <x:t xml:space="preserve">UC-T032</x:t>
  </x:si>
  <x:si>
    <x:t xml:space="preserve">Submit report without file</x:t>
  </x:si>
  <x:si>
    <x:t xml:space="preserve">UC-T033</x:t>
  </x:si>
  <x:si>
    <x:t xml:space="preserve">Book session with start_time == end_time</x:t>
  </x:si>
  <x:si>
    <x:t xml:space="preserve">Authenticated as coordinator</x:t>
  </x:si>
  <x:si>
    <x:t xml:space="preserve">POST /gymkhana/new_session/ {start_time:'10:00', end_time:'10:00', ...}</x:t>
  </x:si>
  <x:si>
    <x:t xml:space="preserve">Error: invalid time range (BR004)</x:t>
  </x:si>
  <x:si>
    <x:t xml:space="preserve">UC-T034</x:t>
  </x:si>
  <x:si>
    <x:t xml:space="preserve">Book session where start_time &gt; end_time</x:t>
  </x:si>
  <x:si>
    <x:t xml:space="preserve">POST /gymkhana/new_session/ {start_time:'14:00', end_time:'10:00', ...}</x:t>
  </x:si>
  <x:si>
    <x:t xml:space="preserve">Error: start_time must be before end_time (BR004)</x:t>
  </x:si>
  <x:si>
    <x:t xml:space="preserve">UC-T035</x:t>
  </x:si>
  <x:si>
    <x:t xml:space="preserve">Student not in target group tries to vote</x:t>
  </x:si>
  <x:si>
    <x:t xml:space="preserve">Student authenticated; poll targets 2022:CSE but student is 2021:EE</x:t>
  </x:si>
  <x:si>
    <x:t xml:space="preserve">POST /gymkhana/{poll_id}/ {choice:&lt;id&gt;}</x:t>
  </x:si>
  <x:si>
    <x:t xml:space="preserve">UC-T036</x:t>
  </x:si>
  <x:si>
    <x:t xml:space="preserve">Approve multiple applications in one request</x:t>
  </x:si>
  <x:si>
    <x:t xml:space="preserve">Authenticated as club head; 3 pending applications exist</x:t>
  </x:si>
  <x:si>
    <x:t xml:space="preserve">POST /gymkhana/approve/ {check:['101-john,CodeHub','102-jane,CodeHub','103-bob,CodeHub'], remarks:{...}}</x:t>
  </x:si>
  <x:si>
    <x:t xml:space="preserve">All 3 Club_member records updated to 'confirmed'; message: 'Successfully Approved !!!'</x:t>
  </x:si>
  <x:si>
    <x:t xml:space="preserve">UC-T037</x:t>
  </x:si>
  <x:si>
    <x:t xml:space="preserve">Create poll targeting 'All' branches in a batch</x:t>
  </x:si>
  <x:si>
    <x:t xml:space="preserve">POST /gymkhana/voting_poll/ {groups:['2022:All'], ...}</x:t>
  </x:si>
  <x:si>
    <x:t xml:space="preserve">All users with batch=2022 notified; poll target JSON includes batch with all branches</x:t>
  </x:si>
  <x:si>
    <x:t xml:space="preserve">BR ID</x:t>
  </x:si>
  <x:si>
    <x:t xml:space="preserve">BR-T001</x:t>
  </x:si>
  <x:si>
    <x:t xml:space="preserve">BR001</x:t>
  </x:si>
  <x:si>
    <x:t xml:space="preserve">Valid</x:t>
  </x:si>
  <x:si>
    <x:t xml:space="preserve">POST new_club/ with valid student id as co_ordinator</x:t>
  </x:si>
  <x:si>
    <x:t xml:space="preserve">ExtraInfo found with user_type='student'; club created</x:t>
  </x:si>
  <x:si>
    <x:t xml:space="preserve">BR-T002</x:t>
  </x:si>
  <x:si>
    <x:t xml:space="preserve">Invalid</x:t>
  </x:si>
  <x:si>
    <x:t xml:space="preserve">POST new_club/ with non-existent student id as co_ordinator</x:t>
  </x:si>
  <x:si>
    <x:t xml:space="preserve">Error: 'The entered roll number of the co_ordinator does not exist'</x:t>
  </x:si>
  <x:si>
    <x:t xml:space="preserve">BR-T003</x:t>
  </x:si>
  <x:si>
    <x:t xml:space="preserve">BR002</x:t>
  </x:si>
  <x:si>
    <x:t xml:space="preserve">POST new_club/ with valid faculty name that exists in Faculty table</x:t>
  </x:si>
  <x:si>
    <x:t xml:space="preserve">Faculty retrieved; club created successfully</x:t>
  </x:si>
  <x:si>
    <x:t xml:space="preserve">BR-T004</x:t>
  </x:si>
  <x:si>
    <x:t xml:space="preserve">POST new_club/ with faculty name not in Faculty/ExtraInfo tables</x:t>
  </x:si>
  <x:si>
    <x:t xml:space="preserve">BR-T005</x:t>
  </x:si>
  <x:si>
    <x:t xml:space="preserve">BR003</x:t>
  </x:si>
  <x:si>
    <x:t xml:space="preserve">Session created; no conflict detected</x:t>
  </x:si>
  <x:si>
    <x:t xml:space="preserve">BR-T006</x:t>
  </x:si>
  <x:si>
    <x:t xml:space="preserve">Conflict detected; error returned</x:t>
  </x:si>
  <x:si>
    <x:t xml:space="preserve">BR-T007</x:t>
  </x:si>
  <x:si>
    <x:t xml:space="preserve">Both sessions created; no conflict (different venues)</x:t>
  </x:si>
  <x:si>
    <x:t xml:space="preserve">BR-T008</x:t>
  </x:si>
  <x:si>
    <x:t xml:space="preserve">Conflict detected; booking rejected</x:t>
  </x:si>
  <x:si>
    <x:t xml:space="preserve">BR-T009</x:t>
  </x:si>
  <x:si>
    <x:t xml:space="preserve">BR004</x:t>
  </x:si>
  <x:si>
    <x:t xml:space="preserve">Book session with start_time='09:00', end_time='10:00'</x:t>
  </x:si>
  <x:si>
    <x:t xml:space="preserve">Session created; valid time range accepted</x:t>
  </x:si>
  <x:si>
    <x:t xml:space="preserve">BR-T010</x:t>
  </x:si>
  <x:si>
    <x:t xml:space="preserve">Book session with start_time='11:00', end_time='09:00'</x:t>
  </x:si>
  <x:si>
    <x:t xml:space="preserve">Error: end_time must be after start_time</x:t>
  </x:si>
  <x:si>
    <x:t xml:space="preserve">BR-T011</x:t>
  </x:si>
  <x:si>
    <x:t xml:space="preserve">BR005</x:t>
  </x:si>
  <x:si>
    <x:t xml:space="preserve">Student S1 applies to club A, then also applies to club B</x:t>
  </x:si>
  <x:si>
    <x:t xml:space="preserve">Both Club_member records created; BR005 allows multi-club</x:t>
  </x:si>
  <x:si>
    <x:t xml:space="preserve">BR-T012</x:t>
  </x:si>
  <x:si>
    <x:t xml:space="preserve">Student S1 already member of club A; applies to club C</x:t>
  </x:si>
  <x:si>
    <x:t xml:space="preserve">New Club_member created for club C</x:t>
  </x:si>
  <x:si>
    <x:t xml:space="preserve">BR-T013</x:t>
  </x:si>
  <x:si>
    <x:t xml:space="preserve">BR006</x:t>
  </x:si>
  <x:si>
    <x:t xml:space="preserve">Student applies to club A for the first time</x:t>
  </x:si>
  <x:si>
    <x:t xml:space="preserve">Club_member created with status='open'</x:t>
  </x:si>
  <x:si>
    <x:t xml:space="preserve">BR-T014</x:t>
  </x:si>
  <x:si>
    <x:t xml:space="preserve">Student applies to club A when already applied to club A</x:t>
  </x:si>
  <x:si>
    <x:t xml:space="preserve">IntegrityError; result='error'; duplicate prevented</x:t>
  </x:si>
  <x:si>
    <x:t xml:space="preserve">BR-T015</x:t>
  </x:si>
  <x:si>
    <x:t xml:space="preserve">BR007</x:t>
  </x:si>
  <x:si>
    <x:t xml:space="preserve">Club coordinator submits approval for membership</x:t>
  </x:si>
  <x:si>
    <x:t xml:space="preserve">coordinator_club() returns club; approval proceeds</x:t>
  </x:si>
  <x:si>
    <x:t xml:space="preserve">BR-T016</x:t>
  </x:si>
  <x:si>
    <x:t xml:space="preserve">Regular student submits approval POST request</x:t>
  </x:si>
  <x:si>
    <x:t xml:space="preserve">BR-T017</x:t>
  </x:si>
  <x:si>
    <x:t xml:space="preserve">BR008</x:t>
  </x:si>
  <x:si>
    <x:t xml:space="preserve">Club head approves pending application (status='open')</x:t>
  </x:si>
  <x:si>
    <x:t xml:space="preserve">Club_member.status set to 'confirmed'</x:t>
  </x:si>
  <x:si>
    <x:t xml:space="preserve">BR-T018</x:t>
  </x:si>
  <x:si>
    <x:t xml:space="preserve">Check whether status is set to something other than 'confirmed' after approval</x:t>
  </x:si>
  <x:si>
    <x:t xml:space="preserve">Status must be exactly 'confirmed', not 'approved' or other</x:t>
  </x:si>
  <x:si>
    <x:t xml:space="preserve">BR-T019</x:t>
  </x:si>
  <x:si>
    <x:t xml:space="preserve">BR009</x:t>
  </x:si>
  <x:si>
    <x:t xml:space="preserve">Create poll with 2 choices</x:t>
  </x:si>
  <x:si>
    <x:t xml:space="preserve">Two Voting_choices created with votes=0</x:t>
  </x:si>
  <x:si>
    <x:t xml:space="preserve">BR-T020</x:t>
  </x:si>
  <x:si>
    <x:t xml:space="preserve">Create poll with 1 choice only</x:t>
  </x:si>
  <x:si>
    <x:t xml:space="preserve">BR-T021</x:t>
  </x:si>
  <x:si>
    <x:t xml:space="preserve">BR010</x:t>
  </x:si>
  <x:si>
    <x:t xml:space="preserve">Create poll for groups ['2022:CSE','2023:ECE']</x:t>
  </x:si>
  <x:si>
    <x:t xml:space="preserve">get_target_user returns JSON {'2022':['CSE'],'2023':['ECE']}</x:t>
  </x:si>
  <x:si>
    <x:t xml:space="preserve">BR-T022</x:t>
  </x:si>
  <x:si>
    <x:t xml:space="preserve">Pass non-colon-separated group string like '2022-CSE'</x:t>
  </x:si>
  <x:si>
    <x:t xml:space="preserve">BR-T023</x:t>
  </x:si>
  <x:si>
    <x:t xml:space="preserve">BR011</x:t>
  </x:si>
  <x:si>
    <x:t xml:space="preserve">Student votes on a poll they haven't voted on before</x:t>
  </x:si>
  <x:si>
    <x:t xml:space="preserve">Voting_voters record created; no error</x:t>
  </x:si>
  <x:si>
    <x:t xml:space="preserve">BR-T024</x:t>
  </x:si>
  <x:si>
    <x:t xml:space="preserve">Student votes a second time on same poll</x:t>
  </x:si>
  <x:si>
    <x:t xml:space="preserve">Duplicate Voting_voters raises IntegrityError; response 'error'</x:t>
  </x:si>
  <x:si>
    <x:t xml:space="preserve">BR-T025</x:t>
  </x:si>
  <x:si>
    <x:t xml:space="preserve">BR012</x:t>
  </x:si>
  <x:si>
    <x:t xml:space="preserve">Vote count before and after single vote cast</x:t>
  </x:si>
  <x:si>
    <x:t xml:space="preserve">votes field increments exactly by 1</x:t>
  </x:si>
  <x:si>
    <x:t xml:space="preserve">BR-T026</x:t>
  </x:si>
  <x:si>
    <x:t xml:space="preserve">Two students vote simultaneously (concurrent test)</x:t>
  </x:si>
  <x:si>
    <x:t xml:space="preserve">BR-T027</x:t>
  </x:si>
  <x:si>
    <x:t xml:space="preserve">BR013</x:t>
  </x:si>
  <x:si>
    <x:t xml:space="preserve">Change head with valid new coordinator</x:t>
  </x:si>
  <x:si>
    <x:t xml:space="preserve">Old HoldsDesignation deleted; new one created</x:t>
  </x:si>
  <x:si>
    <x:t xml:space="preserve">BR-T028</x:t>
  </x:si>
  <x:si>
    <x:t xml:space="preserve">Verify old coordinator still has HoldsDesignation after change</x:t>
  </x:si>
  <x:si>
    <x:t xml:space="preserve">Old HoldsDesignation should NOT exist after change_head()</x:t>
  </x:si>
  <x:si>
    <x:t xml:space="preserve">BR-T029</x:t>
  </x:si>
  <x:si>
    <x:t xml:space="preserve">BR014</x:t>
  </x:si>
  <x:si>
    <x:t xml:space="preserve">After change_head(), new coordinator's HoldsDesignation record exists</x:t>
  </x:si>
  <x:si>
    <x:t xml:space="preserve">HoldsDesignation.objects.get(user=new_co_user) returns record</x:t>
  </x:si>
  <x:si>
    <x:t xml:space="preserve">BR-T030</x:t>
  </x:si>
  <x:si>
    <x:t xml:space="preserve">Query HoldsDesignation for old coordinator after leadership change</x:t>
  </x:si>
  <x:si>
    <x:t xml:space="preserve">Should raise DoesNotExist</x:t>
  </x:si>
  <x:si>
    <x:t xml:space="preserve">BR-T031</x:t>
  </x:si>
  <x:si>
    <x:t xml:space="preserve">BR015</x:t>
  </x:si>
  <x:si>
    <x:t xml:space="preserve">Request budget with amount = 1000</x:t>
  </x:si>
  <x:si>
    <x:t xml:space="preserve">Club_budget created; no error</x:t>
  </x:si>
  <x:si>
    <x:t xml:space="preserve">BR-T032</x:t>
  </x:si>
  <x:si>
    <x:t xml:space="preserve">Club_budget created (0 allowed per BR015)</x:t>
  </x:si>
  <x:si>
    <x:t xml:space="preserve">BR-T033</x:t>
  </x:si>
  <x:si>
    <x:t xml:space="preserve">Request budget with amount = -500</x:t>
  </x:si>
  <x:si>
    <x:t xml:space="preserve">Negative amount; should be rejected (IntegerField default=0 but no explicit check)</x:t>
  </x:si>
  <x:si>
    <x:t xml:space="preserve">BR-T034</x:t>
  </x:si>
  <x:si>
    <x:t xml:space="preserve">BR016</x:t>
  </x:si>
  <x:si>
    <x:t xml:space="preserve">Budget request with file attached</x:t>
  </x:si>
  <x:si>
    <x:t xml:space="preserve">Club_budget saved with budget_file populated</x:t>
  </x:si>
  <x:si>
    <x:t xml:space="preserve">BR-T035</x:t>
  </x:si>
  <x:si>
    <x:t xml:space="preserve">Budget request with no file (null file field)</x:t>
  </x:si>
  <x:si>
    <x:t xml:space="preserve">null=False constraint; ValidationError or save fails</x:t>
  </x:si>
  <x:si>
    <x:t xml:space="preserve">BR-T036</x:t>
  </x:si>
  <x:si>
    <x:t xml:space="preserve">BR017</x:t>
  </x:si>
  <x:si>
    <x:t xml:space="preserve">Club report submitted with event_details file</x:t>
  </x:si>
  <x:si>
    <x:t xml:space="preserve">Club_report saved; file stored</x:t>
  </x:si>
  <x:si>
    <x:t xml:space="preserve">BR-T037</x:t>
  </x:si>
  <x:si>
    <x:t xml:space="preserve">Club report submitted without event_details file</x:t>
  </x:si>
  <x:si>
    <x:t xml:space="preserve">null=False constraint; save fails</x:t>
  </x:si>
  <x:si>
    <x:t xml:space="preserve">BR-T038</x:t>
  </x:si>
  <x:si>
    <x:t xml:space="preserve">BR018</x:t>
  </x:si>
  <x:si>
    <x:t xml:space="preserve">Submit report with date='2025-05-01' and time='18:00'</x:t>
  </x:si>
  <x:si>
    <x:t xml:space="preserve">Stored date field contains '2025-05-01 18:00'</x:t>
  </x:si>
  <x:si>
    <x:t xml:space="preserve">BR-T039</x:t>
  </x:si>
  <x:si>
    <x:t xml:space="preserve">Submit report with only date, no time</x:t>
  </x:si>
  <x:si>
    <x:t xml:space="preserve">BR-T040</x:t>
  </x:si>
  <x:si>
    <x:t xml:space="preserve">BR019</x:t>
  </x:si>
  <x:si>
    <x:t xml:space="preserve">Create Club_member with status='open'</x:t>
  </x:si>
  <x:si>
    <x:t xml:space="preserve">Record saved; status field value is 'open'</x:t>
  </x:si>
  <x:si>
    <x:t xml:space="preserve">BR-T041</x:t>
  </x:si>
  <x:si>
    <x:t xml:space="preserve">Attempt to set status to an unlisted value like 'pending'</x:t>
  </x:si>
  <x:si>
    <x:t xml:space="preserve">Django raises validation error for invalid choice</x:t>
  </x:si>
  <x:si>
    <x:t xml:space="preserve">BR-T042</x:t>
  </x:si>
  <x:si>
    <x:t xml:space="preserve">BR020</x:t>
  </x:si>
  <x:si>
    <x:t xml:space="preserve">Create Club_info with category='Technical'</x:t>
  </x:si>
  <x:si>
    <x:t xml:space="preserve">Record saved with category='Technical'</x:t>
  </x:si>
  <x:si>
    <x:t xml:space="preserve">BR-T043</x:t>
  </x:si>
  <x:si>
    <x:t xml:space="preserve">Create Club_info with category='Robotics' (not in choices)</x:t>
  </x:si>
  <x:si>
    <x:t xml:space="preserve">Django raises validation error</x:t>
  </x:si>
  <x:si>
    <x:t xml:space="preserve">BR-T044</x:t>
  </x:si>
  <x:si>
    <x:t xml:space="preserve">BR021</x:t>
  </x:si>
  <x:si>
    <x:t xml:space="preserve">Delete a Club_info record that has Club_member children</x:t>
  </x:si>
  <x:si>
    <x:t xml:space="preserve">All Club_member records cascade-deleted</x:t>
  </x:si>
  <x:si>
    <x:t xml:space="preserve">BR-T045</x:t>
  </x:si>
  <x:si>
    <x:t xml:space="preserve">Delete a Voting_polls record</x:t>
  </x:si>
  <x:si>
    <x:t xml:space="preserve">All Voting_choices cascade-deleted</x:t>
  </x:si>
  <x:si>
    <x:t xml:space="preserve">BR-T046</x:t>
  </x:si>
  <x:si>
    <x:t xml:space="preserve">BR022</x:t>
  </x:si>
  <x:si>
    <x:t xml:space="preserve">Create two clubs with different names</x:t>
  </x:si>
  <x:si>
    <x:t xml:space="preserve">Both saved; primary keys unique</x:t>
  </x:si>
  <x:si>
    <x:t xml:space="preserve">BR-T047</x:t>
  </x:si>
  <x:si>
    <x:t xml:space="preserve">Attempt to create two clubs with same club_name (PK/unique)</x:t>
  </x:si>
  <x:si>
    <x:t xml:space="preserve">IntegrityError; duplicate rejected</x:t>
  </x:si>
  <x:si>
    <x:t xml:space="preserve">WF ID</x:t>
  </x:si>
  <x:si>
    <x:t xml:space="preserve">Expected Final State</x:t>
  </x:si>
  <x:si>
    <x:t xml:space="preserve">WF-T001</x:t>
  </x:si>
  <x:si>
    <x:t xml:space="preserve">WF001</x:t>
  </x:si>
  <x:si>
    <x:t xml:space="preserve">End-to-End</x:t>
  </x:si>
  <x:si>
    <x:t xml:space="preserve">Admin submits valid new club form end-to-end</x:t>
  </x:si>
  <x:si>
    <x:t xml:space="preserve">Club_info record exists in DB with status='open'; redirect to /gymkhana/</x:t>
  </x:si>
  <x:si>
    <x:t xml:space="preserve">WF-T002</x:t>
  </x:si>
  <x:si>
    <x:t xml:space="preserve">Negative</x:t>
  </x:si>
  <x:si>
    <x:t xml:space="preserve">Admin provides invalid coordinator id; workflow stops at validation</x:t>
  </x:si>
  <x:si>
    <x:t xml:space="preserve">No Club_info created; error message displayed; DB unchanged</x:t>
  </x:si>
  <x:si>
    <x:t xml:space="preserve">WF-T003</x:t>
  </x:si>
  <x:si>
    <x:t xml:space="preserve">Admin provides invalid faculty; workflow stops at step 4</x:t>
  </x:si>
  <x:si>
    <x:t xml:space="preserve">No Club_info created; error message displayed</x:t>
  </x:si>
  <x:si>
    <x:t xml:space="preserve">WF-T004</x:t>
  </x:si>
  <x:si>
    <x:t xml:space="preserve">WF002</x:t>
  </x:si>
  <x:si>
    <x:t xml:space="preserve">Club head books session with no conflicts; notification sent</x:t>
  </x:si>
  <x:si>
    <x:t xml:space="preserve">Session_info created; students notified; JSON success response</x:t>
  </x:si>
  <x:si>
    <x:t xml:space="preserve">WF-T005</x:t>
  </x:si>
  <x:si>
    <x:t xml:space="preserve">Session booking fails due to venue conflict</x:t>
  </x:si>
  <x:si>
    <x:t xml:space="preserve">No Session_info created; conflict error returned; DB unchanged</x:t>
  </x:si>
  <x:si>
    <x:t xml:space="preserve">WF-T006</x:t>
  </x:si>
  <x:si>
    <x:t xml:space="preserve">conflict_algorithm_session called with end_time &lt; start_time</x:t>
  </x:si>
  <x:si>
    <x:t xml:space="preserve">Conflict check rejects booking; no record created</x:t>
  </x:si>
  <x:si>
    <x:t xml:space="preserve">WF-T007</x:t>
  </x:si>
  <x:si>
    <x:t xml:space="preserve">WF003</x:t>
  </x:si>
  <x:si>
    <x:t xml:space="preserve">Student applies for club membership with correct user_name format</x:t>
  </x:si>
  <x:si>
    <x:t xml:space="preserve">Club_member record created with status='open'; success JSON returned</x:t>
  </x:si>
  <x:si>
    <x:t xml:space="preserve">WF-T008</x:t>
  </x:si>
  <x:si>
    <x:t xml:space="preserve">user_name string malformed (no ' - ' separator)</x:t>
  </x:si>
  <x:si>
    <x:t xml:space="preserve">split(' - ') produces wrong index; KeyError or IndexError; no record created</x:t>
  </x:si>
  <x:si>
    <x:t xml:space="preserve">WF-T009</x:t>
  </x:si>
  <x:si>
    <x:t xml:space="preserve">WF004</x:t>
  </x:si>
  <x:si>
    <x:t xml:space="preserve">Club head approves list of pending applications</x:t>
  </x:si>
  <x:si>
    <x:t xml:space="preserve">All listed Club_member records have status='confirmed' and remarks set</x:t>
  </x:si>
  <x:si>
    <x:t xml:space="preserve">WF-T010</x:t>
  </x:si>
  <x:si>
    <x:t xml:space="preserve">Approval attempted for member not in Club_member table</x:t>
  </x:si>
  <x:si>
    <x:t xml:space="preserve">WF-T011</x:t>
  </x:si>
  <x:si>
    <x:t xml:space="preserve">WF005</x:t>
  </x:si>
  <x:si>
    <x:t xml:space="preserve">Club head creates poll with choices and group targeting; notifications dispatched</x:t>
  </x:si>
  <x:si>
    <x:t xml:space="preserve">Voting_polls record exists; N Voting_choices exist; eligible users notified</x:t>
  </x:si>
  <x:si>
    <x:t xml:space="preserve">WF-T012</x:t>
  </x:si>
  <x:si>
    <x:t xml:space="preserve">Group string cannot be split by ':' (malformed group)</x:t>
  </x:si>
  <x:si>
    <x:t xml:space="preserve">WF-T013</x:t>
  </x:si>
  <x:si>
    <x:t xml:space="preserve">WF006</x:t>
  </x:si>
  <x:si>
    <x:t xml:space="preserve">Student votes on active poll; vote count incremented</x:t>
  </x:si>
  <x:si>
    <x:t xml:space="preserve">Voting_choices.votes += 1; Voting_voters record created; redirect to /gymkhana/</x:t>
  </x:si>
  <x:si>
    <x:t xml:space="preserve">WF-T014</x:t>
  </x:si>
  <x:si>
    <x:t xml:space="preserve">Student votes twice; second vote rejected</x:t>
  </x:si>
  <x:si>
    <x:t xml:space="preserve">IntegrityError on Voting_voters.create(); response 'error'; vote count unchanged</x:t>
  </x:si>
  <x:si>
    <x:t xml:space="preserve">WF-T015</x:t>
  </x:si>
  <x:si>
    <x:t xml:space="preserve">WF007</x:t>
  </x:si>
  <x:si>
    <x:t xml:space="preserve">Current head changes leadership to two valid new students</x:t>
  </x:si>
  <x:si>
    <x:t xml:space="preserve">Club_info updated; new HoldsDesignation records created; old ones deleted; success JSON</x:t>
  </x:si>
  <x:si>
    <x:t xml:space="preserve">WF-T016</x:t>
  </x:si>
  <x:si>
    <x:t xml:space="preserve">New coordinator username does not exist in Student table</x:t>
  </x:si>
  <x:si>
    <x:t xml:space="preserve">get_object_or_404 raises 404; no changes saved; DB unchanged</x:t>
  </x:si>
  <x:si>
    <x:t xml:space="preserve">WF-T017</x:t>
  </x:si>
  <x:si>
    <x:t xml:space="preserve">Old HoldsDesignation missing (already deleted); delete on non-existent record</x:t>
  </x:si>
  <x:si>
    <x:t xml:space="preserve">filter().delete() on empty queryset raises no error; executes cleanly; new records still created</x:t>
  </x:si>
  <x:si>
    <x:t xml:space="preserve">Source Type</x:t>
  </x:si>
  <x:si>
    <x:t xml:space="preserve">Source ID</x:t>
  </x:si>
  <x:si>
    <x:t xml:space="preserve">Actual Result</x:t>
  </x:si>
  <x:si>
    <x:t xml:space="preserve">Status</x:t>
  </x:si>
  <x:si>
    <x:t xml:space="preserve">Evidence</x:t>
  </x:si>
  <x:si>
    <x:t xml:space="preserve">Tester</x:t>
  </x:si>
  <x:si>
    <x:t xml:space="preserve">UC</x:t>
  </x:si>
  <x:si>
    <x:t xml:space="preserve">Club created, status='open'</x:t>
  </x:si>
  <x:si>
    <x:t xml:space="preserve">Club_info record created successfully; redirect confirmed</x:t>
  </x:si>
  <x:si>
    <x:t xml:space="preserve">Pass</x:t>
  </x:si>
  <x:si>
    <x:t xml:space="preserve">DB: Club_info.objects.get(club_name='CodeHub').status == 'open'</x:t>
  </x:si>
  <x:si>
    <x:t xml:space="preserve">[Tester]</x:t>
  </x:si>
  <x:si>
    <x:t xml:space="preserve">Error: co_ordinator not found</x:t>
  </x:si>
  <x:si>
    <x:t xml:space="preserve">HTTP 404 / error message displayed</x:t>
  </x:si>
  <x:si>
    <x:t xml:space="preserve">API response: error message shown in UI</x:t>
  </x:si>
  <x:si>
    <x:t xml:space="preserve">Error: co_coordinator not found</x:t>
  </x:si>
  <x:si>
    <x:t xml:space="preserve">Error message displayed correctly</x:t>
  </x:si>
  <x:si>
    <x:t xml:space="preserve">Screenshot: error displayed</x:t>
  </x:si>
  <x:si>
    <x:t xml:space="preserve">Error: faculty not found</x:t>
  </x:si>
  <x:si>
    <x:t xml:space="preserve">API response body</x:t>
  </x:si>
  <x:si>
    <x:t xml:space="preserve">Redirect to login / 403</x:t>
  </x:si>
  <x:si>
    <x:t xml:space="preserve">Unauthenticated request redirected to login</x:t>
  </x:si>
  <x:si>
    <x:t xml:space="preserve">HTTP 302 to /accounts/login/</x:t>
  </x:si>
  <x:si>
    <x:t xml:space="preserve">Session booked; success JSON</x:t>
  </x:si>
  <x:si>
    <x:t xml:space="preserve">Session_info created; JSON success returned</x:t>
  </x:si>
  <x:si>
    <x:t xml:space="preserve">DB: Session_info record exists; API response JSON</x:t>
  </x:si>
  <x:si>
    <x:t xml:space="preserve">Conflict error returned</x:t>
  </x:si>
  <x:si>
    <x:t xml:space="preserve">Conflict detected; error message shown</x:t>
  </x:si>
  <x:si>
    <x:t xml:space="preserve">API response: conflict message</x:t>
  </x:si>
  <x:si>
    <x:t xml:space="preserve">Error/redirect for non-coordinator</x:t>
  </x:si>
  <x:si>
    <x:t xml:space="preserve">Event created; success message</x:t>
  </x:si>
  <x:si>
    <x:t xml:space="preserve">Event_info record created; message shown</x:t>
  </x:si>
  <x:si>
    <x:t xml:space="preserve">DB: Event_info.objects.filter(event_name='Annual Fest').count() == 1</x:t>
  </x:si>
  <x:si>
    <x:t xml:space="preserve">Conflict error for event</x:t>
  </x:si>
  <x:si>
    <x:t xml:space="preserve">Conflict detected; message shown</x:t>
  </x:si>
  <x:si>
    <x:t xml:space="preserve">Unauthorized error</x:t>
  </x:si>
  <x:si>
    <x:t xml:space="preserve">Membership created status='open'</x:t>
  </x:si>
  <x:si>
    <x:t xml:space="preserve">Club_member created; success JSON</x:t>
  </x:si>
  <x:si>
    <x:t xml:space="preserve">DB: Club_member.status == 'open'</x:t>
  </x:si>
  <x:si>
    <x:t xml:space="preserve">Duplicate error: 'Some error occurred'</x:t>
  </x:si>
  <x:si>
    <x:t xml:space="preserve">IntegrityError caught; message returned</x:t>
  </x:si>
  <x:si>
    <x:t xml:space="preserve">API response body: Some error occurred</x:t>
  </x:si>
  <x:si>
    <x:t xml:space="preserve">404 / club not found error</x:t>
  </x:si>
  <x:si>
    <x:t xml:space="preserve">get_object_or_404 raises 404</x:t>
  </x:si>
  <x:si>
    <x:t xml:space="preserve">HTTP 404 response</x:t>
  </x:si>
  <x:si>
    <x:t xml:space="preserve">Approval success; status='confirmed'</x:t>
  </x:si>
  <x:si>
    <x:t xml:space="preserve">Status updated; success message</x:t>
  </x:si>
  <x:si>
    <x:t xml:space="preserve">DB: Club_member.status == 'confirmed'</x:t>
  </x:si>
  <x:si>
    <x:t xml:space="preserve">Approved with empty remarks</x:t>
  </x:si>
  <x:si>
    <x:t xml:space="preserve">Status confirmed; remarks=''</x:t>
  </x:si>
  <x:si>
    <x:t xml:space="preserve">DB: Club_member.remarks == ''</x:t>
  </x:si>
  <x:si>
    <x:t xml:space="preserve">Poll created; choices and notifications</x:t>
  </x:si>
  <x:si>
    <x:t xml:space="preserve">Voting_polls and Voting_choices created; notifications sent</x:t>
  </x:si>
  <x:si>
    <x:t xml:space="preserve">DB records confirmed</x:t>
  </x:si>
  <x:si>
    <x:t xml:space="preserve">BR009 violation with 1 choice</x:t>
  </x:si>
  <x:si>
    <x:t xml:space="preserve">Unauthorized</x:t>
  </x:si>
  <x:si>
    <x:t xml:space="preserve">Vote recorded; count incremented</x:t>
  </x:si>
  <x:si>
    <x:t xml:space="preserve">votes += 1; Voting_voters created</x:t>
  </x:si>
  <x:si>
    <x:t xml:space="preserve">DB: Voting_choices.votes == previous + 1</x:t>
  </x:si>
  <x:si>
    <x:t xml:space="preserve">Duplicate vote error</x:t>
  </x:si>
  <x:si>
    <x:t xml:space="preserve">IntegrityError; 'error' returned</x:t>
  </x:si>
  <x:si>
    <x:t xml:space="preserve">API response: 'error'</x:t>
  </x:si>
  <x:si>
    <x:t xml:space="preserve">404 for non-existent poll</x:t>
  </x:si>
  <x:si>
    <x:t xml:space="preserve">HTTP 404</x:t>
  </x:si>
  <x:si>
    <x:t xml:space="preserve">Leadership changed; success JSON</x:t>
  </x:si>
  <x:si>
    <x:t xml:space="preserve">Club_info updated; HoldsDesignation records updated</x:t>
  </x:si>
  <x:si>
    <x:t xml:space="preserve">DB: Club_info.co_ordinator == new student</x:t>
  </x:si>
  <x:si>
    <x:t xml:space="preserve">404 for invalid new coordinator</x:t>
  </x:si>
  <x:si>
    <x:t xml:space="preserve">No explicit auth in change_head()</x:t>
  </x:si>
  <x:si>
    <x:t xml:space="preserve">Fail</x:t>
  </x:si>
  <x:si>
    <x:t xml:space="preserve">DEFECT: No authorization check; any authenticated user can call change_head()</x:t>
  </x:si>
  <x:si>
    <x:t xml:space="preserve">Budget requested; success message</x:t>
  </x:si>
  <x:si>
    <x:t xml:space="preserve">Club_budget created; message shown</x:t>
  </x:si>
  <x:si>
    <x:t xml:space="preserve">DB: Club_budget.status == 'open'</x:t>
  </x:si>
  <x:si>
    <x:t xml:space="preserve">Budget amount=0 accepted</x:t>
  </x:si>
  <x:si>
    <x:t xml:space="preserve">Club_budget created with amount=0</x:t>
  </x:si>
  <x:si>
    <x:t xml:space="preserve">DB: Club_budget.budget_amt == 0</x:t>
  </x:si>
  <x:si>
    <x:t xml:space="preserve">Error: no file attached</x:t>
  </x:si>
  <x:si>
    <x:t xml:space="preserve">Save fails due to null=False on budget_file</x:t>
  </x:si>
  <x:si>
    <x:t xml:space="preserve">Partial</x:t>
  </x:si>
  <x:si>
    <x:t xml:space="preserve">File field null=False enforced at DB level but error message to user not informative</x:t>
  </x:si>
  <x:si>
    <x:t xml:space="preserve">Report created; file renamed</x:t>
  </x:si>
  <x:si>
    <x:t xml:space="preserve">Club_report saved; file name pattern confirmed</x:t>
  </x:si>
  <x:si>
    <x:t xml:space="preserve">DB: Club_report created; file name matches pattern</x:t>
  </x:si>
  <x:si>
    <x:t xml:space="preserve">Date stored as concatenated string</x:t>
  </x:si>
  <x:si>
    <x:t xml:space="preserve">date field = '2025-05-01 18:00'</x:t>
  </x:si>
  <x:si>
    <x:t xml:space="preserve">DB: Club_report.date == '2025-05-01 18:00'</x:t>
  </x:si>
  <x:si>
    <x:t xml:space="preserve">Error: no file</x:t>
  </x:si>
  <x:si>
    <x:t xml:space="preserve">Save fails at DB level</x:t>
  </x:si>
  <x:si>
    <x:t xml:space="preserve">DB constraint enforced but no user-friendly error message</x:t>
  </x:si>
  <x:si>
    <x:t xml:space="preserve">Error: start==end time</x:t>
  </x:si>
  <x:si>
    <x:t xml:space="preserve">Error: start &gt; end time</x:t>
  </x:si>
  <x:si>
    <x:t xml:space="preserve">Vote rejected for out-of-group student</x:t>
  </x:si>
  <x:si>
    <x:t xml:space="preserve">All 3 applications approved</x:t>
  </x:si>
  <x:si>
    <x:t xml:space="preserve">Batch approval processed; all 3 records updated</x:t>
  </x:si>
  <x:si>
    <x:t xml:space="preserve">DB: 3 Club_member records with status='confirmed'</x:t>
  </x:si>
  <x:si>
    <x:t xml:space="preserve">All users in 2022 batch targeted</x:t>
  </x:si>
  <x:si>
    <x:t xml:space="preserve">get_target_user returns JSON with all 2022 users</x:t>
  </x:si>
  <x:si>
    <x:t xml:space="preserve">Verified via notification recipients list</x:t>
  </x:si>
  <x:si>
    <x:t xml:space="preserve">BR</x:t>
  </x:si>
  <x:si>
    <x:t xml:space="preserve">Club created with valid student</x:t>
  </x:si>
  <x:si>
    <x:t xml:space="preserve">Club created successfully</x:t>
  </x:si>
  <x:si>
    <x:t xml:space="preserve">DB record confirmed</x:t>
  </x:si>
  <x:si>
    <x:t xml:space="preserve">Error for invalid student coordinator</x:t>
  </x:si>
  <x:si>
    <x:t xml:space="preserve">Club created with valid faculty</x:t>
  </x:si>
  <x:si>
    <x:t xml:space="preserve">Faculty retrieved; club created</x:t>
  </x:si>
  <x:si>
    <x:t xml:space="preserve">Error for invalid faculty</x:t>
  </x:si>
  <x:si>
    <x:t xml:space="preserve">Session created in free venue</x:t>
  </x:si>
  <x:si>
    <x:t xml:space="preserve">Session_info created</x:t>
  </x:si>
  <x:si>
    <x:t xml:space="preserve">DB record exists</x:t>
  </x:si>
  <x:si>
    <x:t xml:space="preserve">Conflict detected for overlapping session</x:t>
  </x:si>
  <x:si>
    <x:t xml:space="preserve">Error returned</x:t>
  </x:si>
  <x:si>
    <x:t xml:space="preserve">API response: conflict</x:t>
  </x:si>
  <x:si>
    <x:t xml:space="preserve">Sessions in different venues don't conflict</x:t>
  </x:si>
  <x:si>
    <x:t xml:space="preserve">Both sessions created</x:t>
  </x:si>
  <x:si>
    <x:t xml:space="preserve">DB: 2 records with different venues</x:t>
  </x:si>
  <x:si>
    <x:t xml:space="preserve">1-minute overlap detected for events</x:t>
  </x:si>
  <x:si>
    <x:t xml:space="preserve">Conflict detected</x:t>
  </x:si>
  <x:si>
    <x:t xml:space="preserve">API response: conflict error</x:t>
  </x:si>
  <x:si>
    <x:t xml:space="preserve">Valid time range accepted</x:t>
  </x:si>
  <x:si>
    <x:t xml:space="preserve">Session created</x:t>
  </x:si>
  <x:si>
    <x:t xml:space="preserve">DB: Session_info saved</x:t>
  </x:si>
  <x:si>
    <x:t xml:space="preserve">Invalid time range rejected</x:t>
  </x:si>
  <x:si>
    <x:t xml:space="preserve">Student applies to two clubs</x:t>
  </x:si>
  <x:si>
    <x:t xml:space="preserve">Two Club_member records created</x:t>
  </x:si>
  <x:si>
    <x:t xml:space="preserve">DB: 2 Club_member for student</x:t>
  </x:si>
  <x:si>
    <x:t xml:space="preserve">Second club application succeeds</x:t>
  </x:si>
  <x:si>
    <x:t xml:space="preserve">New Club_member created</x:t>
  </x:si>
  <x:si>
    <x:t xml:space="preserve">DB: record exists</x:t>
  </x:si>
  <x:si>
    <x:t xml:space="preserve">First application creates record</x:t>
  </x:si>
  <x:si>
    <x:t xml:space="preserve">Club_member with status='open' created</x:t>
  </x:si>
  <x:si>
    <x:t xml:space="preserve">DB confirmed</x:t>
  </x:si>
  <x:si>
    <x:t xml:space="preserve">Duplicate application rejected</x:t>
  </x:si>
  <x:si>
    <x:t xml:space="preserve">IntegrityError; error response</x:t>
  </x:si>
  <x:si>
    <x:t xml:space="preserve">API: 'Some error occurred'</x:t>
  </x:si>
  <x:si>
    <x:t xml:space="preserve">Coordinator can approve</x:t>
  </x:si>
  <x:si>
    <x:t xml:space="preserve">Approval proceeds</x:t>
  </x:si>
  <x:si>
    <x:t xml:space="preserve">Status updated to 'confirmed'</x:t>
  </x:si>
  <x:si>
    <x:t xml:space="preserve">Non-coordinator approval blocked</x:t>
  </x:si>
  <x:si>
    <x:t xml:space="preserve">Status transitions to 'confirmed'</x:t>
  </x:si>
  <x:si>
    <x:t xml:space="preserve">Status == 'confirmed' after approval</x:t>
  </x:si>
  <x:si>
    <x:t xml:space="preserve">Status exactly 'confirmed' not other string</x:t>
  </x:si>
  <x:si>
    <x:t xml:space="preserve">Value is 'confirmed'</x:t>
  </x:si>
  <x:si>
    <x:t xml:space="preserve">DB field value verified</x:t>
  </x:si>
  <x:si>
    <x:t xml:space="preserve">Poll with 2 choices valid</x:t>
  </x:si>
  <x:si>
    <x:t xml:space="preserve">2 Voting_choices created</x:t>
  </x:si>
  <x:si>
    <x:t xml:space="preserve">DB: count == 2</x:t>
  </x:si>
  <x:si>
    <x:t xml:space="preserve">Poll with 1 choice—backend allows</x:t>
  </x:si>
  <x:si>
    <x:t xml:space="preserve">Target JSON correctly formed</x:t>
  </x:si>
  <x:si>
    <x:t xml:space="preserve">JSON matches expected structure</x:t>
  </x:si>
  <x:si>
    <x:t xml:space="preserve">Logged JSON output matches spec</x:t>
  </x:si>
  <x:si>
    <x:t xml:space="preserve">Malformed group string fails</x:t>
  </x:si>
  <x:si>
    <x:t xml:space="preserve">First vote created</x:t>
  </x:si>
  <x:si>
    <x:t xml:space="preserve">Voting_voters record created</x:t>
  </x:si>
  <x:si>
    <x:t xml:space="preserve">Second vote rejected</x:t>
  </x:si>
  <x:si>
    <x:t xml:space="preserve">IntegrityError; 'error' response</x:t>
  </x:si>
  <x:si>
    <x:t xml:space="preserve">API: 'error'</x:t>
  </x:si>
  <x:si>
    <x:t xml:space="preserve">Vote count increments by 1</x:t>
  </x:si>
  <x:si>
    <x:t xml:space="preserve">votes == previous + 1</x:t>
  </x:si>
  <x:si>
    <x:t xml:space="preserve">DB: votes field verified</x:t>
  </x:si>
  <x:si>
    <x:t xml:space="preserve">Concurrent votes both recorded</x:t>
  </x:si>
  <x:si>
    <x:t xml:space="preserve">Old designation deleted</x:t>
  </x:si>
  <x:si>
    <x:t xml:space="preserve">HoldsDesignation for old head gone</x:t>
  </x:si>
  <x:si>
    <x:t xml:space="preserve">DB: filter returns 0 records</x:t>
  </x:si>
  <x:si>
    <x:t xml:space="preserve">Old coordinator no longer has designation</x:t>
  </x:si>
  <x:si>
    <x:t xml:space="preserve">No HoldsDesignation record for old user</x:t>
  </x:si>
  <x:si>
    <x:t xml:space="preserve">DB: DoesNotExist confirmed</x:t>
  </x:si>
  <x:si>
    <x:t xml:space="preserve">New head has HoldsDesignation</x:t>
  </x:si>
  <x:si>
    <x:t xml:space="preserve">Record exists for new coordinator</x:t>
  </x:si>
  <x:si>
    <x:t xml:space="preserve">DB: HoldsDesignation.objects.get() succeeds</x:t>
  </x:si>
  <x:si>
    <x:t xml:space="preserve">Old head HoldsDesignation gone</x:t>
  </x:si>
  <x:si>
    <x:t xml:space="preserve">DoesNotExist for old user</x:t>
  </x:si>
  <x:si>
    <x:t xml:space="preserve">DB: confirmed</x:t>
  </x:si>
  <x:si>
    <x:t xml:space="preserve">Positive budget accepted</x:t>
  </x:si>
  <x:si>
    <x:t xml:space="preserve">Club_budget created</x:t>
  </x:si>
  <x:si>
    <x:t xml:space="preserve">Zero budget accepted</x:t>
  </x:si>
  <x:si>
    <x:t xml:space="preserve">Negative budget not rejected by backend</x:t>
  </x:si>
  <x:si>
    <x:t xml:space="preserve">File present—budget saved</x:t>
  </x:si>
  <x:si>
    <x:t xml:space="preserve">budget_file field populated</x:t>
  </x:si>
  <x:si>
    <x:t xml:space="preserve">DB: budget_file not null</x:t>
  </x:si>
  <x:si>
    <x:t xml:space="preserve">No file—save fails</x:t>
  </x:si>
  <x:si>
    <x:t xml:space="preserve">DB constraint null=False enforced</x:t>
  </x:si>
  <x:si>
    <x:t xml:space="preserve">Constraint enforced at DB level; no user-friendly validation message</x:t>
  </x:si>
  <x:si>
    <x:t xml:space="preserve">Report with file saved</x:t>
  </x:si>
  <x:si>
    <x:t xml:space="preserve">Club_report created</x:t>
  </x:si>
  <x:si>
    <x:t xml:space="preserve">Date+time concatenated correctly</x:t>
  </x:si>
  <x:si>
    <x:t xml:space="preserve">date == '2025-05-01 18:00'</x:t>
  </x:si>
  <x:si>
    <x:t xml:space="preserve">DB: field value confirmed</x:t>
  </x:si>
  <x:si>
    <x:t xml:space="preserve">Missing time causes bad concatenation</x:t>
  </x:si>
  <x:si>
    <x:t xml:space="preserve">status='open' accepted</x:t>
  </x:si>
  <x:si>
    <x:t xml:space="preserve">Record saved</x:t>
  </x:si>
  <x:si>
    <x:t xml:space="preserve">DB: status == 'open'</x:t>
  </x:si>
  <x:si>
    <x:t xml:space="preserve">Invalid status rejected</x:t>
  </x:si>
  <x:si>
    <x:t xml:space="preserve">Validation only enforced at form level; direct model save with invalid choice may succeed</x:t>
  </x:si>
  <x:si>
    <x:t xml:space="preserve">category='Technical' accepted</x:t>
  </x:si>
  <x:si>
    <x:t xml:space="preserve">DB: category == 'Technical'</x:t>
  </x:si>
  <x:si>
    <x:t xml:space="preserve">Invalid category rejected</x:t>
  </x:si>
  <x:si>
    <x:t xml:space="preserve">Form-level only; model-level save does not enforce choices</x:t>
  </x:si>
  <x:si>
    <x:t xml:space="preserve">Club delete cascades to Club_member</x:t>
  </x:si>
  <x:si>
    <x:t xml:space="preserve">All children deleted</x:t>
  </x:si>
  <x:si>
    <x:t xml:space="preserve">DB: Club_member.count() == 0 after club delete</x:t>
  </x:si>
  <x:si>
    <x:t xml:space="preserve">Poll delete cascades to Voting_choices</x:t>
  </x:si>
  <x:si>
    <x:t xml:space="preserve">All choices deleted</x:t>
  </x:si>
  <x:si>
    <x:t xml:space="preserve">DB: Voting_choices count == 0 after poll delete</x:t>
  </x:si>
  <x:si>
    <x:t xml:space="preserve">Two clubs with different names saved</x:t>
  </x:si>
  <x:si>
    <x:t xml:space="preserve">Both records exist</x:t>
  </x:si>
  <x:si>
    <x:t xml:space="preserve">DB: 2 unique Club_info records</x:t>
  </x:si>
  <x:si>
    <x:t xml:space="preserve">Duplicate club_name rejected</x:t>
  </x:si>
  <x:si>
    <x:t xml:space="preserve">IntegrityError</x:t>
  </x:si>
  <x:si>
    <x:t xml:space="preserve">DB: constraint enforced</x:t>
  </x:si>
  <x:si>
    <x:t xml:space="preserve">WF</x:t>
  </x:si>
  <x:si>
    <x:t xml:space="preserve">Club created end-to-end</x:t>
  </x:si>
  <x:si>
    <x:t xml:space="preserve">Club_info in DB</x:t>
  </x:si>
  <x:si>
    <x:t xml:space="preserve">DB verified</x:t>
  </x:si>
  <x:si>
    <x:t xml:space="preserve">Invalid coordinator stops workflow</x:t>
  </x:si>
  <x:si>
    <x:t xml:space="preserve">No Club_info created</x:t>
  </x:si>
  <x:si>
    <x:t xml:space="preserve">HTTP 404 from get_object_or_404</x:t>
  </x:si>
  <x:si>
    <x:t xml:space="preserve">Invalid faculty stops workflow</x:t>
  </x:si>
  <x:si>
    <x:t xml:space="preserve">HTTP 404 returned</x:t>
  </x:si>
  <x:si>
    <x:t xml:space="preserve">Session booked; notifications sent</x:t>
  </x:si>
  <x:si>
    <x:t xml:space="preserve">DB + notification log verified</x:t>
  </x:si>
  <x:si>
    <x:t xml:space="preserve">Conflict blocks session creation</x:t>
  </x:si>
  <x:si>
    <x:t xml:space="preserve">No Session_info created</x:t>
  </x:si>
  <x:si>
    <x:t xml:space="preserve">API: conflict error</x:t>
  </x:si>
  <x:si>
    <x:t xml:space="preserve">Reversed times not caught by conflict algorithm</x:t>
  </x:si>
  <x:si>
    <x:t xml:space="preserve">Membership application end-to-end</x:t>
  </x:si>
  <x:si>
    <x:t xml:space="preserve">Club_member status='open'</x:t>
  </x:si>
  <x:si>
    <x:t xml:space="preserve">Malformed user_name causes error</x:t>
  </x:si>
  <x:si>
    <x:t xml:space="preserve">split fails; exception</x:t>
  </x:si>
  <x:si>
    <x:t xml:space="preserve">Try-except catches error but returns generic error; user_name format not validated upfront</x:t>
  </x:si>
  <x:si>
    <x:t xml:space="preserve">Batch approval end-to-end</x:t>
  </x:si>
  <x:si>
    <x:t xml:space="preserve">All Club_member status='confirmed'</x:t>
  </x:si>
  <x:si>
    <x:t xml:space="preserve">DB: all records updated</x:t>
  </x:si>
  <x:si>
    <x:t xml:space="preserve">Missing member causes 404 mid-loop</x:t>
  </x:si>
  <x:si>
    <x:t xml:space="preserve">Poll creation end-to-end</x:t>
  </x:si>
  <x:si>
    <x:t xml:space="preserve">Poll + choices + notifications</x:t>
  </x:si>
  <x:si>
    <x:t xml:space="preserve">DB records + notification log confirmed</x:t>
  </x:si>
  <x:si>
    <x:t xml:space="preserve">Malformed group string fails silently</x:t>
  </x:si>
  <x:si>
    <x:t xml:space="preserve">Vote end-to-end</x:t>
  </x:si>
  <x:si>
    <x:t xml:space="preserve">Vote counted; voter recorded</x:t>
  </x:si>
  <x:si>
    <x:t xml:space="preserve">Duplicate vote rejected</x:t>
  </x:si>
  <x:si>
    <x:t xml:space="preserve">IntegrityError; 'error'</x:t>
  </x:si>
  <x:si>
    <x:t xml:space="preserve">API response confirmed</x:t>
  </x:si>
  <x:si>
    <x:t xml:space="preserve">Leadership change end-to-end</x:t>
  </x:si>
  <x:si>
    <x:t xml:space="preserve">Club + HoldsDesignation updated</x:t>
  </x:si>
  <x:si>
    <x:t xml:space="preserve">DB: new designations confirmed</x:t>
  </x:si>
  <x:si>
    <x:t xml:space="preserve">Invalid new coordinator causes 404</x:t>
  </x:si>
  <x:si>
    <x:t xml:space="preserve">No changes made</x:t>
  </x:si>
  <x:si>
    <x:t xml:space="preserve">Delete on empty HoldsDesignation queryset</x:t>
  </x:si>
  <x:si>
    <x:t xml:space="preserve">No error; clean execution</x:t>
  </x:si>
  <x:si>
    <x:t xml:space="preserve">No exception raised; filter().delete() on empty set is safe</x:t>
  </x:si>
  <x:si>
    <x:t xml:space="preserve">Defect ID</x:t>
  </x:si>
  <x:si>
    <x:t xml:space="preserve">Related Test ID</x:t>
  </x:si>
  <x:si>
    <x:t xml:space="preserve">Related Artifact</x:t>
  </x:si>
  <x:si>
    <x:t xml:space="preserve">Severity</x:t>
  </x:si>
  <x:si>
    <x:t xml:space="preserve">Description</x:t>
  </x:si>
  <x:si>
    <x:t xml:space="preserve">Suggested Fix</x:t>
  </x:si>
  <x:si>
    <x:t xml:space="preserve">DEF-001</x:t>
  </x:si>
  <x:si>
    <x:t xml:space="preserve">UC-T017 / BR-T016</x:t>
  </x:si>
  <x:si>
    <x:t xml:space="preserve">UC005 / BR007</x:t>
  </x:si>
  <x:si>
    <x:t xml:space="preserve">DEF-002</x:t>
  </x:si>
  <x:si>
    <x:t xml:space="preserve">UC-T019 / BR-T020</x:t>
  </x:si>
  <x:si>
    <x:t xml:space="preserve">UC006 / BR009</x:t>
  </x:si>
  <x:si>
    <x:t xml:space="preserve">DEF-003</x:t>
  </x:si>
  <x:si>
    <x:t xml:space="preserve">DEF-004</x:t>
  </x:si>
  <x:si>
    <x:t xml:space="preserve">DEF-005</x:t>
  </x:si>
  <x:si>
    <x:t xml:space="preserve">UC-T033 / UC-T034 / BR-T010</x:t>
  </x:si>
  <x:si>
    <x:t xml:space="preserve">UC002 / BR004</x:t>
  </x:si>
  <x:si>
    <x:t xml:space="preserve">DEF-006</x:t>
  </x:si>
  <x:si>
    <x:t xml:space="preserve">DEF-007</x:t>
  </x:si>
  <x:si>
    <x:t xml:space="preserve">DEF-008</x:t>
  </x:si>
  <x:si>
    <x:t xml:space="preserve">DEF-009</x:t>
  </x:si>
  <x:si>
    <x:t xml:space="preserve">BR-T026 / WF implicit</x:t>
  </x:si>
  <x:si>
    <x:t xml:space="preserve">DEF-010</x:t>
  </x:si>
  <x:si>
    <x:t xml:space="preserve">DEF-011</x:t>
  </x:si>
  <x:si>
    <x:t xml:space="preserve">DEF-012</x:t>
  </x:si>
  <x:si>
    <x:t xml:space="preserve">UC-T008 / UC-T011</x:t>
  </x:si>
  <x:si>
    <x:t xml:space="preserve">UC002 / UC003</x:t>
  </x:si>
  <x:si>
    <x:t xml:space="preserve">DEF-013</x:t>
  </x:si>
  <x:si>
    <x:t xml:space="preserve">DEF-014</x:t>
  </x:si>
  <x:si>
    <x:t xml:space="preserve">BR-T035 / BR-T037</x:t>
  </x:si>
  <x:si>
    <x:t xml:space="preserve">BR016 / BR017</x:t>
  </x:si>
  <x:si>
    <x:t xml:space="preserve">Artifact ID</x:t>
  </x:si>
  <x:si>
    <x:t xml:space="preserve">Artifact Type</x:t>
  </x:si>
  <x:si>
    <x:t xml:space="preserve">Total Tests</x:t>
  </x:si>
  <x:si>
    <x:t xml:space="preserve">Final Status</x:t>
  </x:si>
  <x:si>
    <x:t xml:space="preserve">Remarks</x:t>
  </x:si>
  <x:si>
    <x:t xml:space="preserve">Use Case</x:t>
  </x:si>
  <x:si>
    <x:t xml:space="preserve">Partially Implemented</x:t>
  </x:si>
  <x:si>
    <x:t xml:space="preserve">Club creation works; unauthenticated access not tested by backend</x:t>
  </x:si>
  <x:si>
    <x:t xml:space="preserve">Implemented Correctly</x:t>
  </x:si>
  <x:si>
    <x:t xml:space="preserve">Membership application with duplicate prevention works correctly</x:t>
  </x:si>
  <x:si>
    <x:t xml:space="preserve">Report works; no user-friendly file error message</x:t>
  </x:si>
  <x:si>
    <x:t xml:space="preserve">Business Rule</x:t>
  </x:si>
  <x:si>
    <x:t xml:space="preserve">Enforced Correctly</x:t>
  </x:si>
  <x:si>
    <x:t xml:space="preserve">Valid/invalid student coordinator validation working</x:t>
  </x:si>
  <x:si>
    <x:t xml:space="preserve">Faculty validation working</x:t>
  </x:si>
  <x:si>
    <x:t xml:space="preserve">Conflict algorithm correctly prevents double-booking</x:t>
  </x:si>
  <x:si>
    <x:t xml:space="preserve">Multiple club applications allowed</x:t>
  </x:si>
  <x:si>
    <x:t xml:space="preserve">Duplicate applications prevented via IntegrityError</x:t>
  </x:si>
  <x:si>
    <x:t xml:space="preserve">Status transition to 'confirmed' works</x:t>
  </x:si>
  <x:si>
    <x:t xml:space="preserve">One-vote-per-student enforced via IntegrityError</x:t>
  </x:si>
  <x:si>
    <x:t xml:space="preserve">Leadership succession removes old designations</x:t>
  </x:si>
  <x:si>
    <x:t xml:space="preserve">HoldsDesignation tracking correct</x:t>
  </x:si>
  <x:si>
    <x:t xml:space="preserve">Partially Enforced</x:t>
  </x:si>
  <x:si>
    <x:t xml:space="preserve">Null constraint at DB; no user-friendly error</x:t>
  </x:si>
  <x:si>
    <x:t xml:space="preserve">Choices enforced in forms; direct model save may bypass</x:t>
  </x:si>
  <x:si>
    <x:t xml:space="preserve">Cascade delete working for clubs and polls</x:t>
  </x:si>
  <x:si>
    <x:t xml:space="preserve">Primary key uniqueness enforced</x:t>
  </x:si>
  <x:si>
    <x:t xml:space="preserve">Workflow</x:t>
  </x:si>
  <x:si>
    <x:t xml:space="preserve">Complete</x:t>
  </x:si>
  <x:si>
    <x:t xml:space="preserve">Club creation workflow end-to-end correct</x:t>
  </x:si>
  <x:si>
    <x:t xml:space="preserve">Happy path works; malformed user_name handled generically</x:t>
  </x:si>
  <x:si>
    <x:t xml:space="preserve">Voting workflow complete; duplicate vote rejected</x:t>
  </x:si>
  <x:si>
    <x:t xml:space="preserve">Leadership change workflow complete and correct</x:t>
  </x:si>
</x:sst>
</file>

<file path=xl/styles.xml><?xml version="1.0" encoding="utf-8"?>
<x:styleSheet xmlns:x="http://schemas.openxmlformats.org/spreadsheetml/2006/main">
  <x:numFmts count="1">
    <x:numFmt numFmtId="164" formatCode="General"/>
  </x:numFmts>
  <x:fonts count="9">
    <x:font>
      <x:sz val="11"/>
      <x:color theme="1"/>
      <x:name val="Calibri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4"/>
      <x:color rgb="1F4E79"/>
      <x:name val="Arial"/>
    </x:font>
    <x:font>
      <x:b/>
      <x:sz val="10"/>
      <x:color rgb="FFFFFF"/>
      <x:name val="Arial"/>
    </x:font>
    <x:font>
      <x:b/>
      <x:sz val="9"/>
      <x:name val="Arial"/>
    </x:font>
    <x:font>
      <x:sz val="9"/>
      <x:name val="Arial"/>
    </x:font>
    <x:font>
      <x:b/>
      <x:sz val="9"/>
      <x:color rgb="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FFFFFF"/>
      </x:patternFill>
    </x:fill>
    <x:fill>
      <x:patternFill patternType="solid">
        <x:fgColor rgb="D9E1F2"/>
      </x:patternFill>
    </x:fill>
    <x:fill>
      <x:patternFill patternType="solid">
        <x:fgColor rgb="C6EFCE"/>
      </x:patternFill>
    </x:fill>
    <x:fill>
      <x:patternFill patternType="solid">
        <x:fgColor rgb="FFEB9C"/>
      </x:patternFill>
    </x:fill>
    <x:fill>
      <x:patternFill patternType="solid">
        <x:fgColor rgb="FFC7CE"/>
      </x:patternFill>
    </x:fill>
    <x:fill>
      <x:patternFill patternType="solid">
        <x:fgColor rgb="FF0000"/>
      </x:patternFill>
    </x:fill>
  </x:fills>
  <x:borders count="2">
    <x:border diagonalUp="0" diagonalDown="0"/>
    <x:border diagonalUp="0" diagonalDown="0"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14">
    <x:xf numFmtId="164" fontId="0" fillId="0" borderId="0" xfId="0" applyFont="0" applyBorder="0" applyAlignment="0">
      <x:alignment horizontal="general" vertical="bottom" wrapText="0"/>
    </x:xf>
    <x:xf numFmtId="164" fontId="4" fillId="0" borderId="0" xfId="0" applyFont="1" applyBorder="1" applyAlignment="1">
      <x:alignment horizontal="center" vertical="bottom" wrapText="0"/>
    </x:xf>
    <x:xf numFmtId="164" fontId="5" fillId="2" borderId="1" xfId="0" applyFont="1" applyBorder="1" applyAlignment="1">
      <x:alignment horizontal="center" vertical="center" wrapText="1"/>
    </x:xf>
    <x:xf numFmtId="164" fontId="6" fillId="0" borderId="1" xfId="0" applyFont="1" applyBorder="1" applyAlignment="0">
      <x:alignment horizontal="general" vertical="bottom" wrapText="0"/>
    </x:xf>
    <x:xf numFmtId="164" fontId="7" fillId="0" borderId="1" xfId="0" applyFont="1" applyBorder="1" applyAlignment="1">
      <x:alignment horizontal="center" vertical="bottom" wrapText="0"/>
    </x:xf>
    <x:xf numFmtId="164" fontId="7" fillId="3" borderId="1" xfId="0" applyFont="1" applyBorder="1" applyAlignment="1">
      <x:alignment horizontal="general" vertical="top" wrapText="1"/>
    </x:xf>
    <x:xf numFmtId="164" fontId="7" fillId="4" borderId="1" xfId="0" applyFont="1" applyBorder="1" applyAlignment="1">
      <x:alignment horizontal="general" vertical="top" wrapText="1"/>
    </x:xf>
    <x:xf numFmtId="164" fontId="7" fillId="5" borderId="1" xfId="0" applyFont="1" applyBorder="1" applyAlignment="1">
      <x:alignment horizontal="general" vertical="top" wrapText="1"/>
    </x:xf>
    <x:xf numFmtId="164" fontId="7" fillId="6" borderId="1" xfId="0" applyFont="1" applyBorder="1" applyAlignment="1">
      <x:alignment horizontal="general" vertical="top" wrapText="1"/>
    </x:xf>
    <x:xf numFmtId="164" fontId="7" fillId="7" borderId="1" xfId="0" applyFont="1" applyBorder="1" applyAlignment="1">
      <x:alignment horizontal="general" vertical="top" wrapText="1"/>
    </x:xf>
    <x:xf numFmtId="164" fontId="8" fillId="8" borderId="1" xfId="0" applyFont="1" applyBorder="1" applyAlignment="1">
      <x:alignment horizontal="general" vertical="top" wrapText="1"/>
    </x:xf>
    <x:xf numFmtId="164" fontId="6" fillId="7" borderId="1" xfId="0" applyFont="1" applyBorder="1" applyAlignment="1">
      <x:alignment horizontal="general" vertical="top" wrapText="1"/>
    </x:xf>
    <x:xf numFmtId="164" fontId="6" fillId="6" borderId="1" xfId="0" applyFont="1" applyBorder="1" applyAlignment="1">
      <x:alignment horizontal="general" vertical="top" wrapText="1"/>
    </x:xf>
    <x:xf numFmtId="164" fontId="6" fillId="5" borderId="1" xfId="0" applyFont="1" applyBorder="1" applyAlignment="1">
      <x:alignment horizontal="general" vertical="top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808000"/>
      <x:rgbColor rgb="FF800080"/>
      <x:rgbColor rgb="FF008080"/>
      <x:rgbColor rgb="FFBFBFBF"/>
      <x:rgbColor rgb="FF808080"/>
      <x:rgbColor rgb="FF9999FF"/>
      <x:rgbColor rgb="FF993366"/>
      <x:rgbColor rgb="FFFFFFCC"/>
      <x:rgbColor rgb="FFCCFFFF"/>
      <x:rgbColor rgb="FF660066"/>
      <x:rgbColor rgb="FFFF8080"/>
      <x:rgbColor rgb="FF0066CC"/>
      <x:rgbColor rgb="FFD9E1F2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6EFCE"/>
      <x:rgbColor rgb="FFFFEB9C"/>
      <x:rgbColor rgb="FF99CCFF"/>
      <x:rgbColor rgb="FFFF99CC"/>
      <x:rgbColor rgb="FFCC99FF"/>
      <x:rgbColor rgb="FFFFC7CE"/>
      <x:rgbColor rgb="FF3366FF"/>
      <x:rgbColor rgb="FF33CCCC"/>
      <x:rgbColor rgb="FF99CC00"/>
      <x:rgbColor rgb="FFFFCC00"/>
      <x:rgbColor rgb="FFFF9900"/>
      <x:rgbColor rgb="FFFF6600"/>
      <x:rgbColor rgb="FF666699"/>
      <x:rgbColor rgb="FF969696"/>
      <x:rgbColor rgb="FF003366"/>
      <x:rgbColor rgb="FF339966"/>
      <x:rgbColor rgb="FF003300"/>
      <x:rgbColor rgb="FF333300"/>
      <x:rgbColor rgb="FF993300"/>
      <x:rgbColor rgb="FF993366"/>
      <x:rgbColor rgb="FF1F4E79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a88b5bca474264" /><Relationship Type="http://schemas.openxmlformats.org/officeDocument/2006/relationships/theme" Target="/xl/theme/theme1.xml" Id="Rc1c407d766d34b8f" /><Relationship Type="http://schemas.openxmlformats.org/officeDocument/2006/relationships/sharedStrings" Target="/xl/sharedStrings.xml" Id="R46d3b89011454247" /><Relationship Type="http://schemas.openxmlformats.org/officeDocument/2006/relationships/worksheet" Target="/xl/worksheets/sheet1.xml" Id="R7da5a03c1eef4d55" /><Relationship Type="http://schemas.openxmlformats.org/officeDocument/2006/relationships/worksheet" Target="/xl/worksheets/sheet2.xml" Id="R38d26ee7800040a3" /><Relationship Type="http://schemas.openxmlformats.org/officeDocument/2006/relationships/worksheet" Target="/xl/worksheets/sheet3.xml" Id="R0d4d0286ef95441a" /><Relationship Type="http://schemas.openxmlformats.org/officeDocument/2006/relationships/worksheet" Target="/xl/worksheets/sheet4.xml" Id="Rcca9a601282640f5" /><Relationship Type="http://schemas.openxmlformats.org/officeDocument/2006/relationships/worksheet" Target="/xl/worksheets/sheet5.xml" Id="R22dc2527bf814ed4" /><Relationship Type="http://schemas.openxmlformats.org/officeDocument/2006/relationships/worksheet" Target="/xl/worksheets/sheet6.xml" Id="R06d94f5d149a4a4c" /><Relationship Type="http://schemas.openxmlformats.org/officeDocument/2006/relationships/worksheet" Target="/xl/worksheets/sheet7.xml" Id="R68da8f2cbfc142e9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38" hidden="0" customWidth="1"/>
    <x:col min="2" max="2" width="92.2699966430664" hidden="0" customWidth="1"/>
  </x:cols>
  <x:sheetData>
    <x:row r="1" ht="17.350000381469727" hidden="0">
      <x:c r="A1" s="1" t="s">
        <x:v>0</x:v>
      </x:c>
      <x:c r="B1" s="1"/>
    </x:row>
    <x:row r="2" ht="15" hidden="0">
      <x:c r="A2" s="2" t="s">
        <x:v>1</x:v>
      </x:c>
      <x:c r="B2" s="2" t="s">
        <x:v>2</x:v>
      </x:c>
    </x:row>
    <x:row r="3" ht="15" hidden="0">
      <x:c r="A3" s="3" t="s">
        <x:v>3</x:v>
      </x:c>
      <x:c r="B3" s="4" t="s">
        <x:v>4</x:v>
      </x:c>
    </x:row>
    <x:row r="4" ht="15" hidden="0">
      <x:c r="A4" s="3" t="s">
        <x:v>5</x:v>
      </x:c>
      <x:c r="B4" s="4" t="s">
        <x:v>6</x:v>
      </x:c>
    </x:row>
    <x:row r="5" ht="15" hidden="0">
      <x:c r="A5" s="3" t="s">
        <x:v>7</x:v>
      </x:c>
      <x:c r="B5" s="4" t="n">
        <x:v>10</x:v>
      </x:c>
    </x:row>
    <x:row r="6" ht="15" hidden="0">
      <x:c r="A6" s="3" t="s">
        <x:v>8</x:v>
      </x:c>
      <x:c r="B6" s="4" t="n">
        <x:v>22</x:v>
      </x:c>
    </x:row>
    <x:row r="7" ht="15" hidden="0">
      <x:c r="A7" s="3" t="s">
        <x:v>9</x:v>
      </x:c>
      <x:c r="B7" s="4" t="n">
        <x:v>7</x:v>
      </x:c>
    </x:row>
    <x:row r="8" ht="15" hidden="0">
      <x:c r="A8" s="3"/>
      <x:c r="B8" s="4"/>
    </x:row>
    <x:row r="9" ht="15" hidden="0">
      <x:c r="A9" s="3" t="s">
        <x:v>10</x:v>
      </x:c>
      <x:c r="B9" s="4" t="n">
        <x:v>30</x:v>
      </x:c>
    </x:row>
    <x:row r="10" ht="15" hidden="0">
      <x:c r="A10" s="3" t="s">
        <x:v>11</x:v>
      </x:c>
      <x:c r="B10" s="4" t="n">
        <x:v>37</x:v>
      </x:c>
    </x:row>
    <x:row r="11" ht="15" hidden="0">
      <x:c r="A11" s="3" t="s">
        <x:v>12</x:v>
      </x:c>
      <x:c r="B11" s="4" t="n">
        <x:v>44</x:v>
      </x:c>
    </x:row>
    <x:row r="12" ht="15" hidden="0">
      <x:c r="A12" s="3" t="s">
        <x:v>13</x:v>
      </x:c>
      <x:c r="B12" s="4" t="n">
        <x:v>47</x:v>
      </x:c>
    </x:row>
    <x:row r="13" ht="15" hidden="0">
      <x:c r="A13" s="3" t="s">
        <x:v>14</x:v>
      </x:c>
      <x:c r="B13" s="4" t="n">
        <x:v>16</x:v>
      </x:c>
    </x:row>
    <x:row r="14" ht="15" hidden="0">
      <x:c r="A14" s="3" t="s">
        <x:v>15</x:v>
      </x:c>
      <x:c r="B14" s="4" t="n">
        <x:v>17</x:v>
      </x:c>
    </x:row>
    <x:row r="15" ht="15" hidden="0">
      <x:c r="A15" s="3"/>
      <x:c r="B15" s="4"/>
    </x:row>
    <x:row r="16" ht="15" hidden="0">
      <x:c r="A16" s="3" t="s">
        <x:v>16</x:v>
      </x:c>
      <x:c r="B16" s="4" t="n">
        <x:f>ROUND(B10/B9*100,1)</x:f>
        <x:v>123.3</x:v>
      </x:c>
    </x:row>
    <x:row r="17" ht="15" hidden="0">
      <x:c r="A17" s="3" t="s">
        <x:v>17</x:v>
      </x:c>
      <x:c r="B17" s="4" t="n">
        <x:f aca="0">ROUND(B12/B11*100,1)</x:f>
        <x:v>106.8</x:v>
      </x:c>
    </x:row>
    <x:row r="18" ht="15" hidden="0">
      <x:c r="A18" s="3" t="s">
        <x:v>18</x:v>
      </x:c>
      <x:c r="B18" s="4" t="n">
        <x:f aca="0">ROUND(B14/B13*100,1)</x:f>
        <x:v>106.3</x:v>
      </x:c>
    </x:row>
    <x:row r="19" ht="15" hidden="0">
      <x:c r="A19" s="3"/>
      <x:c r="B19" s="4"/>
    </x:row>
    <x:row r="20" ht="15" hidden="0">
      <x:c r="A20" s="3" t="s">
        <x:v>19</x:v>
      </x:c>
      <x:c r="B20" s="4" t="n">
        <x:f aca="0">B10+B12+B14</x:f>
        <x:v>101</x:v>
      </x:c>
    </x:row>
    <x:row r="21" ht="15" hidden="0">
      <x:c r="A21" s="3" t="s">
        <x:v>20</x:v>
      </x:c>
      <x:c r="B21" s="4" t="n">
        <x:f>COUNTA(Test_Execution_Log!A:A)-1</x:f>
        <x:v>101</x:v>
      </x:c>
    </x:row>
    <x:row r="22" ht="15" hidden="0">
      <x:c r="A22" s="3" t="s">
        <x:v>21</x:v>
      </x:c>
      <x:c r="B22" s="4" t="n">
        <x:f>COUNTIF(Test_Execution_Log!F:F,"Pass")</x:f>
        <x:v>92</x:v>
      </x:c>
    </x:row>
    <x:row r="23" ht="15" hidden="0">
      <x:c r="A23" s="3" t="s">
        <x:v>22</x:v>
      </x:c>
      <x:c r="B23" s="4" t="n">
        <x:f>COUNTIF(Test_Execution_Log!F:F,"Partial")</x:f>
        <x:v>7</x:v>
      </x:c>
    </x:row>
    <x:row r="24" ht="15" hidden="0">
      <x:c r="A24" s="3" t="s">
        <x:v>23</x:v>
      </x:c>
      <x:c r="B24" s="4" t="n">
        <x:f>COUNTIF(Test_Execution_Log!F:F,"Fail")</x:f>
        <x:v>2</x:v>
      </x:c>
    </x:row>
    <x:row r="25" ht="15" hidden="0">
      <x:c r="A25" s="3" t="s">
        <x:v>24</x:v>
      </x:c>
      <x:c r="B25" s="4" t="n">
        <x:f aca="0">ROUND(B22/B21*100,1)</x:f>
        <x:v>91.1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10" hidden="0" customWidth="1"/>
    <x:col min="2" max="2" width="8" hidden="0" customWidth="1"/>
    <x:col min="3" max="3" width="14" hidden="0" customWidth="1"/>
    <x:col min="4" max="5" width="30" hidden="0" customWidth="1"/>
    <x:col min="6" max="7" width="40" hidden="0" customWidth="1"/>
  </x:cols>
  <x:sheetData>
    <x:row r="1" ht="15" hidden="0">
      <x:c r="A1" s="2" t="s">
        <x:v>25</x:v>
      </x:c>
      <x:c r="B1" s="2" t="s">
        <x:v>26</x:v>
      </x:c>
      <x:c r="C1" s="2" t="s">
        <x:v>27</x:v>
      </x:c>
      <x:c r="D1" s="2" t="s">
        <x:v>28</x:v>
      </x:c>
      <x:c r="E1" s="2" t="s">
        <x:v>29</x:v>
      </x:c>
      <x:c r="F1" s="2" t="s">
        <x:v>30</x:v>
      </x:c>
      <x:c r="G1" s="2" t="s">
        <x:v>31</x:v>
      </x:c>
    </x:row>
    <x:row r="2" ht="42.150001525878906" hidden="0">
      <x:c r="A2" s="5" t="s">
        <x:v>32</x:v>
      </x:c>
      <x:c r="B2" s="5" t="s">
        <x:v>33</x:v>
      </x:c>
      <x:c r="C2" s="5" t="s">
        <x:v>34</x:v>
      </x:c>
      <x:c r="D2" s="5" t="s">
        <x:v>35</x:v>
      </x:c>
      <x:c r="E2" s="5" t="s">
        <x:v>36</x:v>
      </x:c>
      <x:c r="F2" s="5" t="str">
        <x:v>POST /gymkhana/new_club/ {club_name:'CodeHub', category:'Technical', co:&lt;valid_student_id&gt;, coco:&lt;valid_student_id2&gt;, faculty:'Dr. Smith', d_d:'Coding club'}</x:v>
      </x:c>
      <x:c r="G2" s="5" t="s">
        <x:v>37</x:v>
      </x:c>
    </x:row>
    <x:row r="3" ht="21.649999618530273" hidden="0">
      <x:c r="A3" s="6" t="s">
        <x:v>38</x:v>
      </x:c>
      <x:c r="B3" s="6" t="s">
        <x:v>33</x:v>
      </x:c>
      <x:c r="C3" s="6" t="s">
        <x:v>39</x:v>
      </x:c>
      <x:c r="D3" s="6" t="s">
        <x:v>40</x:v>
      </x:c>
      <x:c r="E3" s="6" t="s">
        <x:v>41</x:v>
      </x:c>
      <x:c r="F3" s="6" t="str">
        <x:v>POST /gymkhana/new_club/ {co:'INVALID_ID', ...}</x:v>
      </x:c>
      <x:c r="G3" s="6" t="s">
        <x:v>42</x:v>
      </x:c>
    </x:row>
    <x:row r="4" ht="21.649999618530273" hidden="0">
      <x:c r="A4" s="5" t="s">
        <x:v>43</x:v>
      </x:c>
      <x:c r="B4" s="5" t="s">
        <x:v>33</x:v>
      </x:c>
      <x:c r="C4" s="5" t="s">
        <x:v>39</x:v>
      </x:c>
      <x:c r="D4" s="5" t="s">
        <x:v>44</x:v>
      </x:c>
      <x:c r="E4" s="5" t="s">
        <x:v>45</x:v>
      </x:c>
      <x:c r="F4" s="5" t="str">
        <x:v>POST /gymkhana/new_club/ {coco:'INVALID_ID', ...}</x:v>
      </x:c>
      <x:c r="G4" s="5" t="s">
        <x:v>46</x:v>
      </x:c>
    </x:row>
    <x:row r="5" ht="21.649999618530273" hidden="0">
      <x:c r="A5" s="6" t="s">
        <x:v>47</x:v>
      </x:c>
      <x:c r="B5" s="6" t="s">
        <x:v>33</x:v>
      </x:c>
      <x:c r="C5" s="6" t="s">
        <x:v>39</x:v>
      </x:c>
      <x:c r="D5" s="6" t="s">
        <x:v>48</x:v>
      </x:c>
      <x:c r="E5" s="6" t="s">
        <x:v>49</x:v>
      </x:c>
      <x:c r="F5" s="6" t="str">
        <x:v>POST /gymkhana/new_club/ {faculty:'Dr. Nonexistent', ...}</x:v>
      </x:c>
      <x:c r="G5" s="6" t="s">
        <x:v>50</x:v>
      </x:c>
    </x:row>
    <x:row r="6" ht="21.649999618530273" hidden="0">
      <x:c r="A6" s="5" t="s">
        <x:v>51</x:v>
      </x:c>
      <x:c r="B6" s="5" t="s">
        <x:v>33</x:v>
      </x:c>
      <x:c r="C6" s="5" t="s">
        <x:v>52</x:v>
      </x:c>
      <x:c r="D6" s="5" t="s">
        <x:v>53</x:v>
      </x:c>
      <x:c r="E6" s="5" t="s">
        <x:v>54</x:v>
      </x:c>
      <x:c r="F6" s="5" t="s">
        <x:v>55</x:v>
      </x:c>
      <x:c r="G6" s="5" t="s">
        <x:v>56</x:v>
      </x:c>
    </x:row>
    <x:row r="7" ht="31.899999618530273" hidden="0">
      <x:c r="A7" s="6" t="s">
        <x:v>57</x:v>
      </x:c>
      <x:c r="B7" s="6" t="s">
        <x:v>58</x:v>
      </x:c>
      <x:c r="C7" s="6" t="s">
        <x:v>34</x:v>
      </x:c>
      <x:c r="D7" s="6" t="s">
        <x:v>59</x:v>
      </x:c>
      <x:c r="E7" s="6" t="s">
        <x:v>60</x:v>
      </x:c>
      <x:c r="F7" s="6" t="str">
        <x:v>POST /gymkhana/new_session/ {venue_type:'L101', date:'2025-06-10', start_time:'10:00', end_time:'11:00', d_d:'Python basics'}</x:v>
      </x:c>
      <x:c r="G7" s="6" t="s">
        <x:v>61</x:v>
      </x:c>
    </x:row>
    <x:row r="8" ht="31.899999618530273" hidden="0">
      <x:c r="A8" s="5" t="s">
        <x:v>62</x:v>
      </x:c>
      <x:c r="B8" s="5" t="s">
        <x:v>58</x:v>
      </x:c>
      <x:c r="C8" s="5" t="s">
        <x:v>39</x:v>
      </x:c>
      <x:c r="D8" s="5" t="s">
        <x:v>63</x:v>
      </x:c>
      <x:c r="E8" s="5" t="str">
        <x:v>Authenticated as coordinator; venue L101 already booked 10:00-11:00 on same date</x:v>
      </x:c>
      <x:c r="F8" s="5" t="str">
        <x:v>POST /gymkhana/new_session/ {venue_type:'L101', date:'2025-06-10', start_time:'10:30', end_time:'11:30'}</x:v>
      </x:c>
      <x:c r="G8" s="5" t="s">
        <x:v>64</x:v>
      </x:c>
    </x:row>
    <x:row r="9" ht="21.649999618530273" hidden="0">
      <x:c r="A9" s="6" t="s">
        <x:v>65</x:v>
      </x:c>
      <x:c r="B9" s="6" t="s">
        <x:v>58</x:v>
      </x:c>
      <x:c r="C9" s="6" t="s">
        <x:v>52</x:v>
      </x:c>
      <x:c r="D9" s="6" t="s">
        <x:v>66</x:v>
      </x:c>
      <x:c r="E9" s="6" t="s">
        <x:v>67</x:v>
      </x:c>
      <x:c r="F9" s="6" t="s">
        <x:v>68</x:v>
      </x:c>
      <x:c r="G9" s="6" t="str">
        <x:v>HTTP 403 JSON {'status':'error','message':'Unauthorized: only club coordinators can book sessions.'}</x:v>
      </x:c>
    </x:row>
    <x:row r="10" ht="31.899999618530273" hidden="0">
      <x:c r="A10" s="5" t="s">
        <x:v>69</x:v>
      </x:c>
      <x:c r="B10" s="5" t="s">
        <x:v>70</x:v>
      </x:c>
      <x:c r="C10" s="5" t="s">
        <x:v>34</x:v>
      </x:c>
      <x:c r="D10" s="5" t="s">
        <x:v>71</x:v>
      </x:c>
      <x:c r="E10" s="5" t="s">
        <x:v>72</x:v>
      </x:c>
      <x:c r="F10" s="5" t="str">
        <x:v>POST /gymkhana/new_event/ {event_name:'Annual Fest', incharge:'Dr. Smith', venue_type:'L101', date:'2025-07-01', start_time:'09:00', end_time:'17:00', d_d:'Fest'}</x:v>
      </x:c>
      <x:c r="G10" s="5" t="s">
        <x:v>73</x:v>
      </x:c>
    </x:row>
    <x:row r="11" ht="31.899999618530273" hidden="0">
      <x:c r="A11" s="6" t="s">
        <x:v>74</x:v>
      </x:c>
      <x:c r="B11" s="6" t="s">
        <x:v>70</x:v>
      </x:c>
      <x:c r="C11" s="6" t="s">
        <x:v>39</x:v>
      </x:c>
      <x:c r="D11" s="6" t="s">
        <x:v>75</x:v>
      </x:c>
      <x:c r="E11" s="6" t="str">
        <x:v>Authenticated as club head; L101 already booked 09:00-12:00 on given date</x:v>
      </x:c>
      <x:c r="F11" s="6" t="str">
        <x:v>POST /gymkhana/new_event/ {venue_type:'L101', start_time:'10:00', end_time:'11:00', ...}</x:v>
      </x:c>
      <x:c r="G11" s="6" t="s">
        <x:v>76</x:v>
      </x:c>
    </x:row>
    <x:row r="12" ht="15" hidden="0">
      <x:c r="A12" s="5" t="s">
        <x:v>77</x:v>
      </x:c>
      <x:c r="B12" s="5" t="s">
        <x:v>70</x:v>
      </x:c>
      <x:c r="C12" s="5" t="s">
        <x:v>52</x:v>
      </x:c>
      <x:c r="D12" s="5" t="s">
        <x:v>78</x:v>
      </x:c>
      <x:c r="E12" s="5" t="s">
        <x:v>79</x:v>
      </x:c>
      <x:c r="F12" s="5" t="s">
        <x:v>80</x:v>
      </x:c>
      <x:c r="G12" s="5" t="str">
        <x:v>HTTP 403 JSON {'status':'error','message':'Unauthorized: only club coordinators can book events.'}</x:v>
      </x:c>
    </x:row>
    <x:row r="13" ht="31.899999618530273" hidden="0">
      <x:c r="A13" s="6" t="s">
        <x:v>81</x:v>
      </x:c>
      <x:c r="B13" s="6" t="s">
        <x:v>82</x:v>
      </x:c>
      <x:c r="C13" s="6" t="s">
        <x:v>34</x:v>
      </x:c>
      <x:c r="D13" s="6" t="s">
        <x:v>83</x:v>
      </x:c>
      <x:c r="E13" s="6" t="s">
        <x:v>84</x:v>
      </x:c>
      <x:c r="F13" s="6" t="s">
        <x:v>85</x:v>
      </x:c>
      <x:c r="G13" s="6" t="s">
        <x:v>86</x:v>
      </x:c>
    </x:row>
    <x:row r="14" ht="21.649999618530273" hidden="0">
      <x:c r="A14" s="5" t="s">
        <x:v>87</x:v>
      </x:c>
      <x:c r="B14" s="5" t="s">
        <x:v>82</x:v>
      </x:c>
      <x:c r="C14" s="5" t="s">
        <x:v>39</x:v>
      </x:c>
      <x:c r="D14" s="5" t="s">
        <x:v>88</x:v>
      </x:c>
      <x:c r="E14" s="5" t="s">
        <x:v>89</x:v>
      </x:c>
      <x:c r="F14" s="5" t="s">
        <x:v>90</x:v>
      </x:c>
      <x:c r="G14" s="5" t="s">
        <x:v>91</x:v>
      </x:c>
    </x:row>
    <x:row r="15" ht="21.649999618530273" hidden="0">
      <x:c r="A15" s="6" t="s">
        <x:v>92</x:v>
      </x:c>
      <x:c r="B15" s="6" t="s">
        <x:v>82</x:v>
      </x:c>
      <x:c r="C15" s="6" t="s">
        <x:v>52</x:v>
      </x:c>
      <x:c r="D15" s="6" t="s">
        <x:v>93</x:v>
      </x:c>
      <x:c r="E15" s="6" t="s">
        <x:v>94</x:v>
      </x:c>
      <x:c r="F15" s="6" t="s">
        <x:v>95</x:v>
      </x:c>
      <x:c r="G15" s="6" t="s">
        <x:v>96</x:v>
      </x:c>
    </x:row>
    <x:row r="16" ht="21.649999618530273" hidden="0">
      <x:c r="A16" s="5" t="s">
        <x:v>97</x:v>
      </x:c>
      <x:c r="B16" s="5" t="s">
        <x:v>98</x:v>
      </x:c>
      <x:c r="C16" s="5" t="s">
        <x:v>34</x:v>
      </x:c>
      <x:c r="D16" s="5" t="s">
        <x:v>99</x:v>
      </x:c>
      <x:c r="E16" s="5" t="s">
        <x:v>100</x:v>
      </x:c>
      <x:c r="F16" s="5" t="s">
        <x:v>101</x:v>
      </x:c>
      <x:c r="G16" s="5" t="s">
        <x:v>102</x:v>
      </x:c>
    </x:row>
    <x:row r="17" ht="21.649999618530273" hidden="0">
      <x:c r="A17" s="6" t="s">
        <x:v>103</x:v>
      </x:c>
      <x:c r="B17" s="6" t="s">
        <x:v>98</x:v>
      </x:c>
      <x:c r="C17" s="6" t="s">
        <x:v>39</x:v>
      </x:c>
      <x:c r="D17" s="6" t="s">
        <x:v>104</x:v>
      </x:c>
      <x:c r="E17" s="6" t="s">
        <x:v>105</x:v>
      </x:c>
      <x:c r="F17" s="6" t="s">
        <x:v>106</x:v>
      </x:c>
      <x:c r="G17" s="6" t="s">
        <x:v>107</x:v>
      </x:c>
    </x:row>
    <x:row r="18" ht="21.649999618530273" hidden="0">
      <x:c r="A18" s="5" t="s">
        <x:v>108</x:v>
      </x:c>
      <x:c r="B18" s="5" t="s">
        <x:v>98</x:v>
      </x:c>
      <x:c r="C18" s="5" t="s">
        <x:v>52</x:v>
      </x:c>
      <x:c r="D18" s="5" t="s">
        <x:v>109</x:v>
      </x:c>
      <x:c r="E18" s="5" t="s">
        <x:v>110</x:v>
      </x:c>
      <x:c r="F18" s="5" t="s">
        <x:v>111</x:v>
      </x:c>
      <x:c r="G18" s="5" t="str">
        <x:v>HTTP 403 JSON {'status':'error','message':'Unauthorized: only club coordinators can approve memberships.'}</x:v>
      </x:c>
    </x:row>
    <x:row r="19" ht="31.899999618530273" hidden="0">
      <x:c r="A19" s="6" t="s">
        <x:v>112</x:v>
      </x:c>
      <x:c r="B19" s="6" t="s">
        <x:v>113</x:v>
      </x:c>
      <x:c r="C19" s="6" t="s">
        <x:v>34</x:v>
      </x:c>
      <x:c r="D19" s="6" t="s">
        <x:v>114</x:v>
      </x:c>
      <x:c r="E19" s="6" t="s">
        <x:v>115</x:v>
      </x:c>
      <x:c r="F19" s="6" t="s">
        <x:v>116</x:v>
      </x:c>
      <x:c r="G19" s="6" t="s">
        <x:v>117</x:v>
      </x:c>
    </x:row>
    <x:row r="20" ht="21.649999618530273" hidden="0">
      <x:c r="A20" s="5" t="s">
        <x:v>118</x:v>
      </x:c>
      <x:c r="B20" s="5" t="s">
        <x:v>113</x:v>
      </x:c>
      <x:c r="C20" s="5" t="s">
        <x:v>39</x:v>
      </x:c>
      <x:c r="D20" s="5" t="s">
        <x:v>119</x:v>
      </x:c>
      <x:c r="E20" s="5" t="s">
        <x:v>115</x:v>
      </x:c>
      <x:c r="F20" s="5" t="s">
        <x:v>120</x:v>
      </x:c>
      <x:c r="G20" s="5" t="str">
        <x:v>HTTP 200 JSON error: 'A poll must have at least 2 choices.'</x:v>
      </x:c>
    </x:row>
    <x:row r="21" ht="15" hidden="0">
      <x:c r="A21" s="6" t="s">
        <x:v>121</x:v>
      </x:c>
      <x:c r="B21" s="6" t="s">
        <x:v>113</x:v>
      </x:c>
      <x:c r="C21" s="6" t="s">
        <x:v>52</x:v>
      </x:c>
      <x:c r="D21" s="6" t="s">
        <x:v>122</x:v>
      </x:c>
      <x:c r="E21" s="6" t="s">
        <x:v>79</x:v>
      </x:c>
      <x:c r="F21" s="6" t="s">
        <x:v>123</x:v>
      </x:c>
      <x:c r="G21" s="6" t="str">
        <x:v>HTTP 403 JSON {'status':'error','message':'Unauthorized: only club coordinators can create polls.'}</x:v>
      </x:c>
    </x:row>
    <x:row r="22" ht="21.649999618530273" hidden="0">
      <x:c r="A22" s="5" t="s">
        <x:v>124</x:v>
      </x:c>
      <x:c r="B22" s="5" t="s">
        <x:v>125</x:v>
      </x:c>
      <x:c r="C22" s="5" t="s">
        <x:v>34</x:v>
      </x:c>
      <x:c r="D22" s="5" t="s">
        <x:v>126</x:v>
      </x:c>
      <x:c r="E22" s="5" t="s">
        <x:v>127</x:v>
      </x:c>
      <x:c r="F22" s="5" t="s">
        <x:v>128</x:v>
      </x:c>
      <x:c r="G22" s="5" t="s">
        <x:v>129</x:v>
      </x:c>
    </x:row>
    <x:row r="23" ht="21.649999618530273" hidden="0">
      <x:c r="A23" s="6" t="s">
        <x:v>130</x:v>
      </x:c>
      <x:c r="B23" s="6" t="s">
        <x:v>125</x:v>
      </x:c>
      <x:c r="C23" s="6" t="s">
        <x:v>39</x:v>
      </x:c>
      <x:c r="D23" s="6" t="s">
        <x:v>131</x:v>
      </x:c>
      <x:c r="E23" s="6" t="s">
        <x:v>132</x:v>
      </x:c>
      <x:c r="F23" s="6" t="s">
        <x:v>128</x:v>
      </x:c>
      <x:c r="G23" s="6" t="s">
        <x:v>133</x:v>
      </x:c>
    </x:row>
    <x:row r="24" ht="15" hidden="0">
      <x:c r="A24" s="5" t="s">
        <x:v>134</x:v>
      </x:c>
      <x:c r="B24" s="5" t="s">
        <x:v>125</x:v>
      </x:c>
      <x:c r="C24" s="5" t="s">
        <x:v>52</x:v>
      </x:c>
      <x:c r="D24" s="5" t="s">
        <x:v>135</x:v>
      </x:c>
      <x:c r="E24" s="5" t="s">
        <x:v>136</x:v>
      </x:c>
      <x:c r="F24" s="5" t="s">
        <x:v>137</x:v>
      </x:c>
      <x:c r="G24" s="5" t="s">
        <x:v>138</x:v>
      </x:c>
    </x:row>
    <x:row r="25" ht="31.899999618530273" hidden="0">
      <x:c r="A25" s="6" t="s">
        <x:v>139</x:v>
      </x:c>
      <x:c r="B25" s="6" t="s">
        <x:v>140</x:v>
      </x:c>
      <x:c r="C25" s="6" t="s">
        <x:v>34</x:v>
      </x:c>
      <x:c r="D25" s="6" t="s">
        <x:v>141</x:v>
      </x:c>
      <x:c r="E25" s="6" t="s">
        <x:v>142</x:v>
      </x:c>
      <x:c r="F25" s="6" t="s">
        <x:v>143</x:v>
      </x:c>
      <x:c r="G25" s="6" t="s">
        <x:v>144</x:v>
      </x:c>
    </x:row>
    <x:row r="26" ht="21.649999618530273" hidden="0">
      <x:c r="A26" s="5" t="s">
        <x:v>145</x:v>
      </x:c>
      <x:c r="B26" s="5" t="s">
        <x:v>140</x:v>
      </x:c>
      <x:c r="C26" s="5" t="s">
        <x:v>39</x:v>
      </x:c>
      <x:c r="D26" s="5" t="s">
        <x:v>146</x:v>
      </x:c>
      <x:c r="E26" s="5" t="s">
        <x:v>147</x:v>
      </x:c>
      <x:c r="F26" s="5" t="s">
        <x:v>148</x:v>
      </x:c>
      <x:c r="G26" s="5" t="s">
        <x:v>149</x:v>
      </x:c>
    </x:row>
    <x:row r="27" ht="21.649999618530273" hidden="0">
      <x:c r="A27" s="6" t="s">
        <x:v>150</x:v>
      </x:c>
      <x:c r="B27" s="6" t="s">
        <x:v>140</x:v>
      </x:c>
      <x:c r="C27" s="6" t="s">
        <x:v>52</x:v>
      </x:c>
      <x:c r="D27" s="6" t="s">
        <x:v>151</x:v>
      </x:c>
      <x:c r="E27" s="6" t="s">
        <x:v>79</x:v>
      </x:c>
      <x:c r="F27" s="6" t="s">
        <x:v>152</x:v>
      </x:c>
      <x:c r="G27" s="6" t="s">
        <x:v>153</x:v>
      </x:c>
    </x:row>
    <x:row r="28" ht="31.899999618530273" hidden="0">
      <x:c r="A28" s="5" t="s">
        <x:v>154</x:v>
      </x:c>
      <x:c r="B28" s="5" t="s">
        <x:v>155</x:v>
      </x:c>
      <x:c r="C28" s="5" t="s">
        <x:v>34</x:v>
      </x:c>
      <x:c r="D28" s="5" t="s">
        <x:v>156</x:v>
      </x:c>
      <x:c r="E28" s="5" t="s">
        <x:v>157</x:v>
      </x:c>
      <x:c r="F28" s="5" t="str">
        <x:v>POST /gymkhana/club_budget/ {club:'CodeHub', amount:5000, budget_for:'Equipment', d_d:'Laptops', budget_file:&lt;file&gt;}</x:v>
      </x:c>
      <x:c r="G28" s="5" t="s">
        <x:v>158</x:v>
      </x:c>
    </x:row>
    <x:row r="29" ht="15" hidden="0">
      <x:c r="A29" s="6" t="s">
        <x:v>159</x:v>
      </x:c>
      <x:c r="B29" s="6" t="s">
        <x:v>155</x:v>
      </x:c>
      <x:c r="C29" s="6" t="s">
        <x:v>39</x:v>
      </x:c>
      <x:c r="D29" s="6" t="s">
        <x:v>160</x:v>
      </x:c>
      <x:c r="E29" s="6" t="s">
        <x:v>115</x:v>
      </x:c>
      <x:c r="F29" s="6" t="str">
        <x:v>POST /gymkhana/club_budget/ {amount:0, ...}</x:v>
      </x:c>
      <x:c r="G29" s="6" t="s">
        <x:v>161</x:v>
      </x:c>
    </x:row>
    <x:row r="30" ht="21.649999618530273" hidden="0">
      <x:c r="A30" s="5" t="s">
        <x:v>162</x:v>
      </x:c>
      <x:c r="B30" s="5" t="s">
        <x:v>155</x:v>
      </x:c>
      <x:c r="C30" s="5" t="s">
        <x:v>52</x:v>
      </x:c>
      <x:c r="D30" s="5" t="s">
        <x:v>163</x:v>
      </x:c>
      <x:c r="E30" s="5" t="s">
        <x:v>115</x:v>
      </x:c>
      <x:c r="F30" s="5" t="s">
        <x:v>164</x:v>
      </x:c>
      <x:c r="G30" s="5" t="s">
        <x:v>165</x:v>
      </x:c>
    </x:row>
    <x:row r="31" ht="42.150001525878906" hidden="0">
      <x:c r="A31" s="6" t="s">
        <x:v>166</x:v>
      </x:c>
      <x:c r="B31" s="6" t="s">
        <x:v>167</x:v>
      </x:c>
      <x:c r="C31" s="6" t="s">
        <x:v>34</x:v>
      </x:c>
      <x:c r="D31" s="6" t="s">
        <x:v>168</x:v>
      </x:c>
      <x:c r="E31" s="6" t="s">
        <x:v>169</x:v>
      </x:c>
      <x:c r="F31" s="6" t="str">
        <x:v>POST /gymkhana/club_event_report/ {club:'CodeHub', s_inc:'101 - john', event:'Hackathon', d_d:'...', date:'2025-05-01', time:'18:00', report:&lt;file&gt;}</x:v>
      </x:c>
      <x:c r="G31" s="6" t="str">
        <x:v>Club_report created; file renamed to '{club}_{event}_report'; redirect to /gymkhana/</x:v>
      </x:c>
    </x:row>
    <x:row r="32" ht="21.649999618530273" hidden="0">
      <x:c r="A32" s="5" t="s">
        <x:v>170</x:v>
      </x:c>
      <x:c r="B32" s="5" t="s">
        <x:v>167</x:v>
      </x:c>
      <x:c r="C32" s="5" t="s">
        <x:v>39</x:v>
      </x:c>
      <x:c r="D32" s="5" t="s">
        <x:v>171</x:v>
      </x:c>
      <x:c r="E32" s="5" t="s">
        <x:v>115</x:v>
      </x:c>
      <x:c r="F32" s="5" t="str">
        <x:v>POST /gymkhana/club_event_report/ {date:'2025-05-01', time:'18:00', ...}</x:v>
      </x:c>
      <x:c r="G32" s="5" t="str">
        <x:v>Date/time accepted and stored correctly; report submission succeeds</x:v>
      </x:c>
    </x:row>
    <x:row r="33" ht="21.649999618530273" hidden="0">
      <x:c r="A33" s="6" t="s">
        <x:v>172</x:v>
      </x:c>
      <x:c r="B33" s="6" t="s">
        <x:v>167</x:v>
      </x:c>
      <x:c r="C33" s="6" t="s">
        <x:v>52</x:v>
      </x:c>
      <x:c r="D33" s="6" t="s">
        <x:v>173</x:v>
      </x:c>
      <x:c r="E33" s="6" t="s">
        <x:v>115</x:v>
      </x:c>
      <x:c r="F33" s="6" t="str">
        <x:v>POST /gymkhana/club_event_report/ {valid data, no file}</x:v>
      </x:c>
      <x:c r="G33" s="6" t="str">
        <x:v>Missing report file causes error/no record created; user-friendly validation is still limited</x:v>
      </x:c>
    </x:row>
    <x:row r="34" ht="21.649999618530273" hidden="0">
      <x:c r="A34" s="5" t="s">
        <x:v>174</x:v>
      </x:c>
      <x:c r="B34" s="5" t="s">
        <x:v>58</x:v>
      </x:c>
      <x:c r="C34" s="5" t="s">
        <x:v>39</x:v>
      </x:c>
      <x:c r="D34" s="5" t="s">
        <x:v>175</x:v>
      </x:c>
      <x:c r="E34" s="5" t="s">
        <x:v>176</x:v>
      </x:c>
      <x:c r="F34" s="5" t="s">
        <x:v>177</x:v>
      </x:c>
      <x:c r="G34" s="5" t="s">
        <x:v>178</x:v>
      </x:c>
    </x:row>
    <x:row r="35" ht="21.649999618530273" hidden="0">
      <x:c r="A35" s="6" t="s">
        <x:v>179</x:v>
      </x:c>
      <x:c r="B35" s="6" t="s">
        <x:v>58</x:v>
      </x:c>
      <x:c r="C35" s="6" t="s">
        <x:v>39</x:v>
      </x:c>
      <x:c r="D35" s="6" t="s">
        <x:v>180</x:v>
      </x:c>
      <x:c r="E35" s="6" t="s">
        <x:v>176</x:v>
      </x:c>
      <x:c r="F35" s="6" t="s">
        <x:v>181</x:v>
      </x:c>
      <x:c r="G35" s="6" t="s">
        <x:v>182</x:v>
      </x:c>
    </x:row>
    <x:row r="36" ht="21.649999618530273" hidden="0">
      <x:c r="A36" s="5" t="s">
        <x:v>183</x:v>
      </x:c>
      <x:c r="B36" s="5" t="s">
        <x:v>125</x:v>
      </x:c>
      <x:c r="C36" s="5" t="s">
        <x:v>39</x:v>
      </x:c>
      <x:c r="D36" s="5" t="s">
        <x:v>184</x:v>
      </x:c>
      <x:c r="E36" s="5" t="s">
        <x:v>185</x:v>
      </x:c>
      <x:c r="F36" s="5" t="s">
        <x:v>186</x:v>
      </x:c>
      <x:c r="G36" s="5" t="str">
        <x:v>HTTP 200 JSON {'status':'error','message':'You are not eligible to vote in this poll.'}</x:v>
      </x:c>
    </x:row>
    <x:row r="37" ht="31.899999618530273" hidden="0">
      <x:c r="A37" s="6" t="s">
        <x:v>187</x:v>
      </x:c>
      <x:c r="B37" s="6" t="s">
        <x:v>98</x:v>
      </x:c>
      <x:c r="C37" s="6" t="s">
        <x:v>39</x:v>
      </x:c>
      <x:c r="D37" s="6" t="s">
        <x:v>188</x:v>
      </x:c>
      <x:c r="E37" s="6" t="s">
        <x:v>189</x:v>
      </x:c>
      <x:c r="F37" s="6" t="s">
        <x:v>190</x:v>
      </x:c>
      <x:c r="G37" s="6" t="s">
        <x:v>191</x:v>
      </x:c>
    </x:row>
    <x:row r="38" ht="21.649999618530273" hidden="0">
      <x:c r="A38" s="5" t="s">
        <x:v>192</x:v>
      </x:c>
      <x:c r="B38" s="5" t="s">
        <x:v>113</x:v>
      </x:c>
      <x:c r="C38" s="5" t="s">
        <x:v>39</x:v>
      </x:c>
      <x:c r="D38" s="5" t="s">
        <x:v>193</x:v>
      </x:c>
      <x:c r="E38" s="5" t="s">
        <x:v>115</x:v>
      </x:c>
      <x:c r="F38" s="5" t="s">
        <x:v>194</x:v>
      </x:c>
      <x:c r="G38" s="5" t="s">
        <x:v>195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10" hidden="0" customWidth="1"/>
    <x:col min="2" max="2" width="8" hidden="0" customWidth="1"/>
    <x:col min="3" max="3" width="12" hidden="0" customWidth="1"/>
    <x:col min="4" max="5" width="45" hidden="0" customWidth="1"/>
  </x:cols>
  <x:sheetData>
    <x:row r="1" ht="24.049999237060547" hidden="0">
      <x:c r="A1" s="2" t="s">
        <x:v>25</x:v>
      </x:c>
      <x:c r="B1" s="2" t="s">
        <x:v>196</x:v>
      </x:c>
      <x:c r="C1" s="2" t="s">
        <x:v>27</x:v>
      </x:c>
      <x:c r="D1" s="2" t="s">
        <x:v>30</x:v>
      </x:c>
      <x:c r="E1" s="2" t="s">
        <x:v>31</x:v>
      </x:c>
    </x:row>
    <x:row r="2" ht="15" hidden="0">
      <x:c r="A2" s="5" t="s">
        <x:v>197</x:v>
      </x:c>
      <x:c r="B2" s="5" t="s">
        <x:v>198</x:v>
      </x:c>
      <x:c r="C2" s="5" t="s">
        <x:v>199</x:v>
      </x:c>
      <x:c r="D2" s="5" t="s">
        <x:v>200</x:v>
      </x:c>
      <x:c r="E2" s="5" t="s">
        <x:v>201</x:v>
      </x:c>
    </x:row>
    <x:row r="3" ht="21.649999618530273" hidden="0">
      <x:c r="A3" s="6" t="s">
        <x:v>202</x:v>
      </x:c>
      <x:c r="B3" s="6" t="s">
        <x:v>198</x:v>
      </x:c>
      <x:c r="C3" s="6" t="s">
        <x:v>203</x:v>
      </x:c>
      <x:c r="D3" s="6" t="s">
        <x:v>204</x:v>
      </x:c>
      <x:c r="E3" s="6" t="s">
        <x:v>205</x:v>
      </x:c>
    </x:row>
    <x:row r="4" ht="21.649999618530273" hidden="0">
      <x:c r="A4" s="5" t="s">
        <x:v>206</x:v>
      </x:c>
      <x:c r="B4" s="5" t="s">
        <x:v>207</x:v>
      </x:c>
      <x:c r="C4" s="5" t="s">
        <x:v>199</x:v>
      </x:c>
      <x:c r="D4" s="5" t="s">
        <x:v>208</x:v>
      </x:c>
      <x:c r="E4" s="5" t="s">
        <x:v>209</x:v>
      </x:c>
    </x:row>
    <x:row r="5" ht="21.649999618530273" hidden="0">
      <x:c r="A5" s="6" t="s">
        <x:v>210</x:v>
      </x:c>
      <x:c r="B5" s="6" t="s">
        <x:v>207</x:v>
      </x:c>
      <x:c r="C5" s="6" t="s">
        <x:v>203</x:v>
      </x:c>
      <x:c r="D5" s="6" t="s">
        <x:v>211</x:v>
      </x:c>
      <x:c r="E5" s="6" t="s">
        <x:v>50</x:v>
      </x:c>
    </x:row>
    <x:row r="6" ht="15" hidden="0">
      <x:c r="A6" s="5" t="s">
        <x:v>212</x:v>
      </x:c>
      <x:c r="B6" s="5" t="s">
        <x:v>213</x:v>
      </x:c>
      <x:c r="C6" s="5" t="s">
        <x:v>199</x:v>
      </x:c>
      <x:c r="D6" s="5" t="str">
        <x:v>Book session in L101 at 10:00-11:00 when L101 is free that day</x:v>
      </x:c>
      <x:c r="E6" s="5" t="s">
        <x:v>214</x:v>
      </x:c>
    </x:row>
    <x:row r="7" ht="21.649999618530273" hidden="0">
      <x:c r="A7" s="6" t="s">
        <x:v>215</x:v>
      </x:c>
      <x:c r="B7" s="6" t="s">
        <x:v>213</x:v>
      </x:c>
      <x:c r="C7" s="6" t="s">
        <x:v>203</x:v>
      </x:c>
      <x:c r="D7" s="6" t="str">
        <x:v>Book session in L101 at 10:30-11:30 when 10:00-11:00 is already booked</x:v>
      </x:c>
      <x:c r="E7" s="6" t="s">
        <x:v>216</x:v>
      </x:c>
    </x:row>
    <x:row r="8" ht="15" hidden="0">
      <x:c r="A8" s="5" t="s">
        <x:v>217</x:v>
      </x:c>
      <x:c r="B8" s="5" t="s">
        <x:v>213</x:v>
      </x:c>
      <x:c r="C8" s="5" t="s">
        <x:v>199</x:v>
      </x:c>
      <x:c r="D8" s="5" t="str">
        <x:v>Book two sessions in different venues at the same time (for example, L101 and L102)</x:v>
      </x:c>
      <x:c r="E8" s="5" t="s">
        <x:v>218</x:v>
      </x:c>
    </x:row>
    <x:row r="9" ht="21.649999618530273" hidden="0">
      <x:c r="A9" s="6" t="s">
        <x:v>219</x:v>
      </x:c>
      <x:c r="B9" s="6" t="s">
        <x:v>213</x:v>
      </x:c>
      <x:c r="C9" s="6" t="s">
        <x:v>203</x:v>
      </x:c>
      <x:c r="D9" s="6" t="str">
        <x:v>Book event in L101 overlapping existing event by 1 minute</x:v>
      </x:c>
      <x:c r="E9" s="6" t="s">
        <x:v>220</x:v>
      </x:c>
    </x:row>
    <x:row r="10" ht="15" hidden="0">
      <x:c r="A10" s="5" t="s">
        <x:v>221</x:v>
      </x:c>
      <x:c r="B10" s="5" t="s">
        <x:v>222</x:v>
      </x:c>
      <x:c r="C10" s="5" t="s">
        <x:v>199</x:v>
      </x:c>
      <x:c r="D10" s="5" t="s">
        <x:v>223</x:v>
      </x:c>
      <x:c r="E10" s="5" t="s">
        <x:v>224</x:v>
      </x:c>
    </x:row>
    <x:row r="11" ht="15" hidden="0">
      <x:c r="A11" s="6" t="s">
        <x:v>225</x:v>
      </x:c>
      <x:c r="B11" s="6" t="s">
        <x:v>222</x:v>
      </x:c>
      <x:c r="C11" s="6" t="s">
        <x:v>203</x:v>
      </x:c>
      <x:c r="D11" s="6" t="s">
        <x:v>226</x:v>
      </x:c>
      <x:c r="E11" s="6" t="s">
        <x:v>227</x:v>
      </x:c>
    </x:row>
    <x:row r="12" ht="15" hidden="0">
      <x:c r="A12" s="5" t="s">
        <x:v>228</x:v>
      </x:c>
      <x:c r="B12" s="5" t="s">
        <x:v>229</x:v>
      </x:c>
      <x:c r="C12" s="5" t="s">
        <x:v>199</x:v>
      </x:c>
      <x:c r="D12" s="5" t="s">
        <x:v>230</x:v>
      </x:c>
      <x:c r="E12" s="5" t="s">
        <x:v>231</x:v>
      </x:c>
    </x:row>
    <x:row r="13" ht="15" hidden="0">
      <x:c r="A13" s="6" t="s">
        <x:v>232</x:v>
      </x:c>
      <x:c r="B13" s="6" t="s">
        <x:v>229</x:v>
      </x:c>
      <x:c r="C13" s="6" t="s">
        <x:v>199</x:v>
      </x:c>
      <x:c r="D13" s="6" t="s">
        <x:v>233</x:v>
      </x:c>
      <x:c r="E13" s="6" t="s">
        <x:v>234</x:v>
      </x:c>
    </x:row>
    <x:row r="14" ht="15" hidden="0">
      <x:c r="A14" s="5" t="s">
        <x:v>235</x:v>
      </x:c>
      <x:c r="B14" s="5" t="s">
        <x:v>236</x:v>
      </x:c>
      <x:c r="C14" s="5" t="s">
        <x:v>199</x:v>
      </x:c>
      <x:c r="D14" s="5" t="s">
        <x:v>237</x:v>
      </x:c>
      <x:c r="E14" s="5" t="s">
        <x:v>238</x:v>
      </x:c>
    </x:row>
    <x:row r="15" ht="15" hidden="0">
      <x:c r="A15" s="6" t="s">
        <x:v>239</x:v>
      </x:c>
      <x:c r="B15" s="6" t="s">
        <x:v>236</x:v>
      </x:c>
      <x:c r="C15" s="6" t="s">
        <x:v>203</x:v>
      </x:c>
      <x:c r="D15" s="6" t="s">
        <x:v>240</x:v>
      </x:c>
      <x:c r="E15" s="6" t="s">
        <x:v>241</x:v>
      </x:c>
    </x:row>
    <x:row r="16" ht="15" hidden="0">
      <x:c r="A16" s="5" t="s">
        <x:v>242</x:v>
      </x:c>
      <x:c r="B16" s="5" t="s">
        <x:v>243</x:v>
      </x:c>
      <x:c r="C16" s="5" t="s">
        <x:v>199</x:v>
      </x:c>
      <x:c r="D16" s="5" t="s">
        <x:v>244</x:v>
      </x:c>
      <x:c r="E16" s="5" t="s">
        <x:v>245</x:v>
      </x:c>
    </x:row>
    <x:row r="17" ht="15" hidden="0">
      <x:c r="A17" s="6" t="s">
        <x:v>246</x:v>
      </x:c>
      <x:c r="B17" s="6" t="s">
        <x:v>243</x:v>
      </x:c>
      <x:c r="C17" s="6" t="s">
        <x:v>203</x:v>
      </x:c>
      <x:c r="D17" s="6" t="s">
        <x:v>247</x:v>
      </x:c>
      <x:c r="E17" s="6" t="str">
        <x:v>HTTP 403 JSON unauthorized; approval blocked</x:v>
      </x:c>
    </x:row>
    <x:row r="18" ht="15" hidden="0">
      <x:c r="A18" s="5" t="s">
        <x:v>248</x:v>
      </x:c>
      <x:c r="B18" s="5" t="s">
        <x:v>249</x:v>
      </x:c>
      <x:c r="C18" s="5" t="s">
        <x:v>199</x:v>
      </x:c>
      <x:c r="D18" s="5" t="s">
        <x:v>250</x:v>
      </x:c>
      <x:c r="E18" s="5" t="s">
        <x:v>251</x:v>
      </x:c>
    </x:row>
    <x:row r="19" ht="21.649999618530273" hidden="0">
      <x:c r="A19" s="6" t="s">
        <x:v>252</x:v>
      </x:c>
      <x:c r="B19" s="6" t="s">
        <x:v>249</x:v>
      </x:c>
      <x:c r="C19" s="6" t="s">
        <x:v>203</x:v>
      </x:c>
      <x:c r="D19" s="6" t="s">
        <x:v>253</x:v>
      </x:c>
      <x:c r="E19" s="6" t="s">
        <x:v>254</x:v>
      </x:c>
    </x:row>
    <x:row r="20" ht="15" hidden="0">
      <x:c r="A20" s="5" t="s">
        <x:v>255</x:v>
      </x:c>
      <x:c r="B20" s="5" t="s">
        <x:v>256</x:v>
      </x:c>
      <x:c r="C20" s="5" t="s">
        <x:v>199</x:v>
      </x:c>
      <x:c r="D20" s="5" t="s">
        <x:v>257</x:v>
      </x:c>
      <x:c r="E20" s="5" t="s">
        <x:v>258</x:v>
      </x:c>
    </x:row>
    <x:row r="21" ht="21.649999618530273" hidden="0">
      <x:c r="A21" s="6" t="s">
        <x:v>259</x:v>
      </x:c>
      <x:c r="B21" s="6" t="s">
        <x:v>256</x:v>
      </x:c>
      <x:c r="C21" s="6" t="s">
        <x:v>203</x:v>
      </x:c>
      <x:c r="D21" s="6" t="s">
        <x:v>260</x:v>
      </x:c>
      <x:c r="E21" s="6" t="str">
        <x:v>HTTP 200 JSON error: 'A poll must have at least 2 choices.'</x:v>
      </x:c>
    </x:row>
    <x:row r="22" ht="15" hidden="0">
      <x:c r="A22" s="5" t="s">
        <x:v>261</x:v>
      </x:c>
      <x:c r="B22" s="5" t="s">
        <x:v>262</x:v>
      </x:c>
      <x:c r="C22" s="5" t="s">
        <x:v>199</x:v>
      </x:c>
      <x:c r="D22" s="5" t="s">
        <x:v>263</x:v>
      </x:c>
      <x:c r="E22" s="5" t="s">
        <x:v>264</x:v>
      </x:c>
    </x:row>
    <x:row r="23" ht="15" hidden="0">
      <x:c r="A23" s="6" t="s">
        <x:v>265</x:v>
      </x:c>
      <x:c r="B23" s="6" t="s">
        <x:v>262</x:v>
      </x:c>
      <x:c r="C23" s="6" t="s">
        <x:v>203</x:v>
      </x:c>
      <x:c r="D23" s="6" t="s">
        <x:v>266</x:v>
      </x:c>
      <x:c r="E23" s="6" t="str">
        <x:v>Malformed group entry is skipped safely; valid entries continue processing without a crash</x:v>
      </x:c>
    </x:row>
    <x:row r="24" ht="15" hidden="0">
      <x:c r="A24" s="5" t="s">
        <x:v>267</x:v>
      </x:c>
      <x:c r="B24" s="5" t="s">
        <x:v>268</x:v>
      </x:c>
      <x:c r="C24" s="5" t="s">
        <x:v>199</x:v>
      </x:c>
      <x:c r="D24" s="5" t="s">
        <x:v>269</x:v>
      </x:c>
      <x:c r="E24" s="5" t="s">
        <x:v>270</x:v>
      </x:c>
    </x:row>
    <x:row r="25" ht="15" hidden="0">
      <x:c r="A25" s="6" t="s">
        <x:v>271</x:v>
      </x:c>
      <x:c r="B25" s="6" t="s">
        <x:v>268</x:v>
      </x:c>
      <x:c r="C25" s="6" t="s">
        <x:v>203</x:v>
      </x:c>
      <x:c r="D25" s="6" t="s">
        <x:v>272</x:v>
      </x:c>
      <x:c r="E25" s="6" t="s">
        <x:v>273</x:v>
      </x:c>
    </x:row>
    <x:row r="26" ht="15" hidden="0">
      <x:c r="A26" s="5" t="s">
        <x:v>274</x:v>
      </x:c>
      <x:c r="B26" s="5" t="s">
        <x:v>275</x:v>
      </x:c>
      <x:c r="C26" s="5" t="s">
        <x:v>199</x:v>
      </x:c>
      <x:c r="D26" s="5" t="s">
        <x:v>276</x:v>
      </x:c>
      <x:c r="E26" s="5" t="s">
        <x:v>277</x:v>
      </x:c>
    </x:row>
    <x:row r="27" ht="15" hidden="0">
      <x:c r="A27" s="6" t="s">
        <x:v>278</x:v>
      </x:c>
      <x:c r="B27" s="6" t="s">
        <x:v>275</x:v>
      </x:c>
      <x:c r="C27" s="6" t="s">
        <x:v>199</x:v>
      </x:c>
      <x:c r="D27" s="6" t="s">
        <x:v>279</x:v>
      </x:c>
      <x:c r="E27" s="6" t="str">
        <x:v>Both votes recorded; vote() uses an atomic F() increment to avoid lost updates</x:v>
      </x:c>
    </x:row>
    <x:row r="28" ht="15" hidden="0">
      <x:c r="A28" s="5" t="s">
        <x:v>280</x:v>
      </x:c>
      <x:c r="B28" s="5" t="s">
        <x:v>281</x:v>
      </x:c>
      <x:c r="C28" s="5" t="s">
        <x:v>199</x:v>
      </x:c>
      <x:c r="D28" s="5" t="s">
        <x:v>282</x:v>
      </x:c>
      <x:c r="E28" s="5" t="s">
        <x:v>283</x:v>
      </x:c>
    </x:row>
    <x:row r="29" ht="15" hidden="0">
      <x:c r="A29" s="6" t="s">
        <x:v>284</x:v>
      </x:c>
      <x:c r="B29" s="6" t="s">
        <x:v>281</x:v>
      </x:c>
      <x:c r="C29" s="6" t="s">
        <x:v>203</x:v>
      </x:c>
      <x:c r="D29" s="6" t="s">
        <x:v>285</x:v>
      </x:c>
      <x:c r="E29" s="6" t="s">
        <x:v>286</x:v>
      </x:c>
    </x:row>
    <x:row r="30" ht="21.649999618530273" hidden="0">
      <x:c r="A30" s="5" t="s">
        <x:v>287</x:v>
      </x:c>
      <x:c r="B30" s="5" t="s">
        <x:v>288</x:v>
      </x:c>
      <x:c r="C30" s="5" t="s">
        <x:v>199</x:v>
      </x:c>
      <x:c r="D30" s="5" t="s">
        <x:v>289</x:v>
      </x:c>
      <x:c r="E30" s="5" t="s">
        <x:v>290</x:v>
      </x:c>
    </x:row>
    <x:row r="31" ht="21.649999618530273" hidden="0">
      <x:c r="A31" s="6" t="s">
        <x:v>291</x:v>
      </x:c>
      <x:c r="B31" s="6" t="s">
        <x:v>288</x:v>
      </x:c>
      <x:c r="C31" s="6" t="s">
        <x:v>203</x:v>
      </x:c>
      <x:c r="D31" s="6" t="s">
        <x:v>292</x:v>
      </x:c>
      <x:c r="E31" s="6" t="s">
        <x:v>293</x:v>
      </x:c>
    </x:row>
    <x:row r="32" ht="15" hidden="0">
      <x:c r="A32" s="5" t="s">
        <x:v>294</x:v>
      </x:c>
      <x:c r="B32" s="5" t="s">
        <x:v>295</x:v>
      </x:c>
      <x:c r="C32" s="5" t="s">
        <x:v>199</x:v>
      </x:c>
      <x:c r="D32" s="5" t="s">
        <x:v>296</x:v>
      </x:c>
      <x:c r="E32" s="5" t="s">
        <x:v>297</x:v>
      </x:c>
    </x:row>
    <x:row r="33" ht="15" hidden="0">
      <x:c r="A33" s="6" t="s">
        <x:v>298</x:v>
      </x:c>
      <x:c r="B33" s="6" t="s">
        <x:v>295</x:v>
      </x:c>
      <x:c r="C33" s="6" t="s">
        <x:v>199</x:v>
      </x:c>
      <x:c r="D33" s="6" t="s">
        <x:v>160</x:v>
      </x:c>
      <x:c r="E33" s="6" t="s">
        <x:v>299</x:v>
      </x:c>
    </x:row>
    <x:row r="34" ht="21.649999618530273" hidden="0">
      <x:c r="A34" s="5" t="s">
        <x:v>300</x:v>
      </x:c>
      <x:c r="B34" s="5" t="s">
        <x:v>295</x:v>
      </x:c>
      <x:c r="C34" s="5" t="s">
        <x:v>203</x:v>
      </x:c>
      <x:c r="D34" s="5" t="s">
        <x:v>301</x:v>
      </x:c>
      <x:c r="E34" s="5" t="s">
        <x:v>302</x:v>
      </x:c>
    </x:row>
    <x:row r="35" ht="15" hidden="0">
      <x:c r="A35" s="6" t="s">
        <x:v>303</x:v>
      </x:c>
      <x:c r="B35" s="6" t="s">
        <x:v>304</x:v>
      </x:c>
      <x:c r="C35" s="6" t="s">
        <x:v>199</x:v>
      </x:c>
      <x:c r="D35" s="6" t="s">
        <x:v>305</x:v>
      </x:c>
      <x:c r="E35" s="6" t="s">
        <x:v>306</x:v>
      </x:c>
    </x:row>
    <x:row r="36" ht="15" hidden="0">
      <x:c r="A36" s="5" t="s">
        <x:v>307</x:v>
      </x:c>
      <x:c r="B36" s="5" t="s">
        <x:v>304</x:v>
      </x:c>
      <x:c r="C36" s="5" t="s">
        <x:v>203</x:v>
      </x:c>
      <x:c r="D36" s="5" t="s">
        <x:v>308</x:v>
      </x:c>
      <x:c r="E36" s="5" t="s">
        <x:v>309</x:v>
      </x:c>
    </x:row>
    <x:row r="37" ht="15" hidden="0">
      <x:c r="A37" s="6" t="s">
        <x:v>310</x:v>
      </x:c>
      <x:c r="B37" s="6" t="s">
        <x:v>311</x:v>
      </x:c>
      <x:c r="C37" s="6" t="s">
        <x:v>199</x:v>
      </x:c>
      <x:c r="D37" s="6" t="s">
        <x:v>312</x:v>
      </x:c>
      <x:c r="E37" s="6" t="s">
        <x:v>313</x:v>
      </x:c>
    </x:row>
    <x:row r="38" ht="15" hidden="0">
      <x:c r="A38" s="5" t="s">
        <x:v>314</x:v>
      </x:c>
      <x:c r="B38" s="5" t="s">
        <x:v>311</x:v>
      </x:c>
      <x:c r="C38" s="5" t="s">
        <x:v>203</x:v>
      </x:c>
      <x:c r="D38" s="5" t="s">
        <x:v>315</x:v>
      </x:c>
      <x:c r="E38" s="5" t="s">
        <x:v>316</x:v>
      </x:c>
    </x:row>
    <x:row r="39" ht="15" hidden="0">
      <x:c r="A39" s="6" t="s">
        <x:v>317</x:v>
      </x:c>
      <x:c r="B39" s="6" t="s">
        <x:v>318</x:v>
      </x:c>
      <x:c r="C39" s="6" t="s">
        <x:v>199</x:v>
      </x:c>
      <x:c r="D39" s="6" t="s">
        <x:v>319</x:v>
      </x:c>
      <x:c r="E39" s="6" t="s">
        <x:v>320</x:v>
      </x:c>
    </x:row>
    <x:row r="40" ht="15" hidden="0">
      <x:c r="A40" s="5" t="s">
        <x:v>321</x:v>
      </x:c>
      <x:c r="B40" s="5" t="s">
        <x:v>318</x:v>
      </x:c>
      <x:c r="C40" s="5" t="s">
        <x:v>203</x:v>
      </x:c>
      <x:c r="D40" s="5" t="s">
        <x:v>322</x:v>
      </x:c>
      <x:c r="E40" s="5" t="str">
        <x:v>Request is rejected before save; no Club_report row created when time is missing</x:v>
      </x:c>
    </x:row>
    <x:row r="41" ht="15" hidden="0">
      <x:c r="A41" s="6" t="s">
        <x:v>323</x:v>
      </x:c>
      <x:c r="B41" s="6" t="s">
        <x:v>324</x:v>
      </x:c>
      <x:c r="C41" s="6" t="s">
        <x:v>199</x:v>
      </x:c>
      <x:c r="D41" s="6" t="s">
        <x:v>325</x:v>
      </x:c>
      <x:c r="E41" s="6" t="s">
        <x:v>326</x:v>
      </x:c>
    </x:row>
    <x:row r="42" ht="15" hidden="0">
      <x:c r="A42" s="5" t="s">
        <x:v>327</x:v>
      </x:c>
      <x:c r="B42" s="5" t="s">
        <x:v>324</x:v>
      </x:c>
      <x:c r="C42" s="5" t="s">
        <x:v>203</x:v>
      </x:c>
      <x:c r="D42" s="5" t="s">
        <x:v>328</x:v>
      </x:c>
      <x:c r="E42" s="5" t="s">
        <x:v>329</x:v>
      </x:c>
    </x:row>
    <x:row r="43" ht="15" hidden="0">
      <x:c r="A43" s="6" t="s">
        <x:v>330</x:v>
      </x:c>
      <x:c r="B43" s="6" t="s">
        <x:v>331</x:v>
      </x:c>
      <x:c r="C43" s="6" t="s">
        <x:v>199</x:v>
      </x:c>
      <x:c r="D43" s="6" t="s">
        <x:v>332</x:v>
      </x:c>
      <x:c r="E43" s="6" t="s">
        <x:v>333</x:v>
      </x:c>
    </x:row>
    <x:row r="44" ht="15" hidden="0">
      <x:c r="A44" s="5" t="s">
        <x:v>334</x:v>
      </x:c>
      <x:c r="B44" s="5" t="s">
        <x:v>331</x:v>
      </x:c>
      <x:c r="C44" s="5" t="s">
        <x:v>203</x:v>
      </x:c>
      <x:c r="D44" s="5" t="s">
        <x:v>335</x:v>
      </x:c>
      <x:c r="E44" s="5" t="s">
        <x:v>336</x:v>
      </x:c>
    </x:row>
    <x:row r="45" ht="15" hidden="0">
      <x:c r="A45" s="6" t="s">
        <x:v>337</x:v>
      </x:c>
      <x:c r="B45" s="6" t="s">
        <x:v>338</x:v>
      </x:c>
      <x:c r="C45" s="6" t="s">
        <x:v>199</x:v>
      </x:c>
      <x:c r="D45" s="6" t="s">
        <x:v>339</x:v>
      </x:c>
      <x:c r="E45" s="6" t="s">
        <x:v>340</x:v>
      </x:c>
    </x:row>
    <x:row r="46" ht="15" hidden="0">
      <x:c r="A46" s="5" t="s">
        <x:v>341</x:v>
      </x:c>
      <x:c r="B46" s="5" t="s">
        <x:v>338</x:v>
      </x:c>
      <x:c r="C46" s="5" t="s">
        <x:v>199</x:v>
      </x:c>
      <x:c r="D46" s="5" t="s">
        <x:v>342</x:v>
      </x:c>
      <x:c r="E46" s="5" t="s">
        <x:v>343</x:v>
      </x:c>
    </x:row>
    <x:row r="47" ht="15" hidden="0">
      <x:c r="A47" s="6" t="s">
        <x:v>344</x:v>
      </x:c>
      <x:c r="B47" s="6" t="s">
        <x:v>345</x:v>
      </x:c>
      <x:c r="C47" s="6" t="s">
        <x:v>199</x:v>
      </x:c>
      <x:c r="D47" s="6" t="s">
        <x:v>346</x:v>
      </x:c>
      <x:c r="E47" s="6" t="s">
        <x:v>347</x:v>
      </x:c>
    </x:row>
    <x:row r="48" ht="21.649999618530273" hidden="0">
      <x:c r="A48" s="5" t="s">
        <x:v>348</x:v>
      </x:c>
      <x:c r="B48" s="5" t="s">
        <x:v>345</x:v>
      </x:c>
      <x:c r="C48" s="5" t="s">
        <x:v>203</x:v>
      </x:c>
      <x:c r="D48" s="5" t="s">
        <x:v>349</x:v>
      </x:c>
      <x:c r="E48" s="5" t="s">
        <x:v>350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10" hidden="0" customWidth="1"/>
    <x:col min="2" max="2" width="8" hidden="0" customWidth="1"/>
    <x:col min="3" max="3" width="14" hidden="0" customWidth="1"/>
    <x:col min="4" max="4" width="45" hidden="0" customWidth="1"/>
    <x:col min="5" max="5" width="40" hidden="0" customWidth="1"/>
  </x:cols>
  <x:sheetData>
    <x:row r="1" ht="15" hidden="0">
      <x:c r="A1" s="2" t="s">
        <x:v>25</x:v>
      </x:c>
      <x:c r="B1" s="2" t="s">
        <x:v>351</x:v>
      </x:c>
      <x:c r="C1" s="2" t="s">
        <x:v>27</x:v>
      </x:c>
      <x:c r="D1" s="2" t="s">
        <x:v>28</x:v>
      </x:c>
      <x:c r="E1" s="2" t="s">
        <x:v>352</x:v>
      </x:c>
    </x:row>
    <x:row r="2" ht="21.649999618530273" hidden="0">
      <x:c r="A2" s="5" t="s">
        <x:v>353</x:v>
      </x:c>
      <x:c r="B2" s="5" t="s">
        <x:v>354</x:v>
      </x:c>
      <x:c r="C2" s="5" t="s">
        <x:v>355</x:v>
      </x:c>
      <x:c r="D2" s="5" t="s">
        <x:v>356</x:v>
      </x:c>
      <x:c r="E2" s="5" t="s">
        <x:v>357</x:v>
      </x:c>
    </x:row>
    <x:row r="3" ht="21.649999618530273" hidden="0">
      <x:c r="A3" s="6" t="s">
        <x:v>358</x:v>
      </x:c>
      <x:c r="B3" s="6" t="s">
        <x:v>354</x:v>
      </x:c>
      <x:c r="C3" s="6" t="s">
        <x:v>359</x:v>
      </x:c>
      <x:c r="D3" s="6" t="s">
        <x:v>360</x:v>
      </x:c>
      <x:c r="E3" s="6" t="s">
        <x:v>361</x:v>
      </x:c>
    </x:row>
    <x:row r="4" ht="15" hidden="0">
      <x:c r="A4" s="5" t="s">
        <x:v>362</x:v>
      </x:c>
      <x:c r="B4" s="5" t="s">
        <x:v>354</x:v>
      </x:c>
      <x:c r="C4" s="5" t="s">
        <x:v>359</x:v>
      </x:c>
      <x:c r="D4" s="5" t="s">
        <x:v>363</x:v>
      </x:c>
      <x:c r="E4" s="5" t="s">
        <x:v>364</x:v>
      </x:c>
    </x:row>
    <x:row r="5" ht="21.649999618530273" hidden="0">
      <x:c r="A5" s="6" t="s">
        <x:v>365</x:v>
      </x:c>
      <x:c r="B5" s="6" t="s">
        <x:v>366</x:v>
      </x:c>
      <x:c r="C5" s="6" t="s">
        <x:v>355</x:v>
      </x:c>
      <x:c r="D5" s="6" t="s">
        <x:v>367</x:v>
      </x:c>
      <x:c r="E5" s="6" t="s">
        <x:v>368</x:v>
      </x:c>
    </x:row>
    <x:row r="6" ht="21.649999618530273" hidden="0">
      <x:c r="A6" s="5" t="s">
        <x:v>369</x:v>
      </x:c>
      <x:c r="B6" s="5" t="s">
        <x:v>366</x:v>
      </x:c>
      <x:c r="C6" s="5" t="s">
        <x:v>359</x:v>
      </x:c>
      <x:c r="D6" s="5" t="s">
        <x:v>370</x:v>
      </x:c>
      <x:c r="E6" s="5" t="s">
        <x:v>371</x:v>
      </x:c>
    </x:row>
    <x:row r="7" ht="15" hidden="0">
      <x:c r="A7" s="6" t="s">
        <x:v>372</x:v>
      </x:c>
      <x:c r="B7" s="6" t="s">
        <x:v>366</x:v>
      </x:c>
      <x:c r="C7" s="6" t="s">
        <x:v>359</x:v>
      </x:c>
      <x:c r="D7" s="6" t="s">
        <x:v>373</x:v>
      </x:c>
      <x:c r="E7" s="6" t="s">
        <x:v>374</x:v>
      </x:c>
    </x:row>
    <x:row r="8" ht="21.649999618530273" hidden="0">
      <x:c r="A8" s="5" t="s">
        <x:v>375</x:v>
      </x:c>
      <x:c r="B8" s="5" t="s">
        <x:v>376</x:v>
      </x:c>
      <x:c r="C8" s="5" t="s">
        <x:v>355</x:v>
      </x:c>
      <x:c r="D8" s="5" t="s">
        <x:v>377</x:v>
      </x:c>
      <x:c r="E8" s="5" t="s">
        <x:v>378</x:v>
      </x:c>
    </x:row>
    <x:row r="9" ht="21.649999618530273" hidden="0">
      <x:c r="A9" s="6" t="s">
        <x:v>379</x:v>
      </x:c>
      <x:c r="B9" s="6" t="s">
        <x:v>376</x:v>
      </x:c>
      <x:c r="C9" s="6" t="s">
        <x:v>359</x:v>
      </x:c>
      <x:c r="D9" s="6" t="s">
        <x:v>380</x:v>
      </x:c>
      <x:c r="E9" s="6" t="s">
        <x:v>381</x:v>
      </x:c>
    </x:row>
    <x:row r="10" ht="21.649999618530273" hidden="0">
      <x:c r="A10" s="5" t="s">
        <x:v>382</x:v>
      </x:c>
      <x:c r="B10" s="5" t="s">
        <x:v>383</x:v>
      </x:c>
      <x:c r="C10" s="5" t="s">
        <x:v>355</x:v>
      </x:c>
      <x:c r="D10" s="5" t="s">
        <x:v>384</x:v>
      </x:c>
      <x:c r="E10" s="5" t="s">
        <x:v>385</x:v>
      </x:c>
    </x:row>
    <x:row r="11" ht="21.649999618530273" hidden="0">
      <x:c r="A11" s="6" t="s">
        <x:v>386</x:v>
      </x:c>
      <x:c r="B11" s="6" t="s">
        <x:v>383</x:v>
      </x:c>
      <x:c r="C11" s="6" t="s">
        <x:v>359</x:v>
      </x:c>
      <x:c r="D11" s="6" t="s">
        <x:v>387</x:v>
      </x:c>
      <x:c r="E11" s="6" t="str">
        <x:v>404/error raised; @transaction.atomic rolls back the approval batch so no partial approvals are committed</x:v>
      </x:c>
    </x:row>
    <x:row r="12" ht="21.649999618530273" hidden="0">
      <x:c r="A12" s="5" t="s">
        <x:v>388</x:v>
      </x:c>
      <x:c r="B12" s="5" t="s">
        <x:v>389</x:v>
      </x:c>
      <x:c r="C12" s="5" t="s">
        <x:v>355</x:v>
      </x:c>
      <x:c r="D12" s="5" t="s">
        <x:v>390</x:v>
      </x:c>
      <x:c r="E12" s="5" t="s">
        <x:v>391</x:v>
      </x:c>
    </x:row>
    <x:row r="13" ht="21.649999618530273" hidden="0">
      <x:c r="A13" s="6" t="s">
        <x:v>392</x:v>
      </x:c>
      <x:c r="B13" s="6" t="s">
        <x:v>389</x:v>
      </x:c>
      <x:c r="C13" s="6" t="s">
        <x:v>359</x:v>
      </x:c>
      <x:c r="D13" s="6" t="s">
        <x:v>393</x:v>
      </x:c>
      <x:c r="E13" s="6" t="str">
        <x:v>Malformed group entries are skipped safely; poll can still be created for the valid target groups</x:v>
      </x:c>
    </x:row>
    <x:row r="14" ht="21.649999618530273" hidden="0">
      <x:c r="A14" s="5" t="s">
        <x:v>394</x:v>
      </x:c>
      <x:c r="B14" s="5" t="s">
        <x:v>395</x:v>
      </x:c>
      <x:c r="C14" s="5" t="s">
        <x:v>355</x:v>
      </x:c>
      <x:c r="D14" s="5" t="s">
        <x:v>396</x:v>
      </x:c>
      <x:c r="E14" s="5" t="s">
        <x:v>397</x:v>
      </x:c>
    </x:row>
    <x:row r="15" ht="21.649999618530273" hidden="0">
      <x:c r="A15" s="6" t="s">
        <x:v>398</x:v>
      </x:c>
      <x:c r="B15" s="6" t="s">
        <x:v>395</x:v>
      </x:c>
      <x:c r="C15" s="6" t="s">
        <x:v>359</x:v>
      </x:c>
      <x:c r="D15" s="6" t="s">
        <x:v>399</x:v>
      </x:c>
      <x:c r="E15" s="6" t="s">
        <x:v>400</x:v>
      </x:c>
    </x:row>
    <x:row r="16" ht="21.649999618530273" hidden="0">
      <x:c r="A16" s="5" t="s">
        <x:v>401</x:v>
      </x:c>
      <x:c r="B16" s="5" t="s">
        <x:v>402</x:v>
      </x:c>
      <x:c r="C16" s="5" t="s">
        <x:v>355</x:v>
      </x:c>
      <x:c r="D16" s="5" t="s">
        <x:v>403</x:v>
      </x:c>
      <x:c r="E16" s="5" t="s">
        <x:v>404</x:v>
      </x:c>
    </x:row>
    <x:row r="17" ht="21.649999618530273" hidden="0">
      <x:c r="A17" s="6" t="s">
        <x:v>405</x:v>
      </x:c>
      <x:c r="B17" s="6" t="s">
        <x:v>402</x:v>
      </x:c>
      <x:c r="C17" s="6" t="s">
        <x:v>359</x:v>
      </x:c>
      <x:c r="D17" s="6" t="s">
        <x:v>406</x:v>
      </x:c>
      <x:c r="E17" s="6" t="s">
        <x:v>407</x:v>
      </x:c>
    </x:row>
    <x:row r="18" ht="21.649999618530273" hidden="0">
      <x:c r="A18" s="5" t="s">
        <x:v>408</x:v>
      </x:c>
      <x:c r="B18" s="5" t="s">
        <x:v>402</x:v>
      </x:c>
      <x:c r="C18" s="5" t="s">
        <x:v>359</x:v>
      </x:c>
      <x:c r="D18" s="5" t="s">
        <x:v>409</x:v>
      </x:c>
      <x:c r="E18" s="5" t="s">
        <x:v>410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2" width="10" hidden="0" customWidth="1"/>
    <x:col min="3" max="3" width="8" hidden="0" customWidth="1"/>
    <x:col min="4" max="4" width="38" hidden="0" customWidth="1"/>
    <x:col min="5" max="5" width="45" hidden="0" customWidth="1"/>
    <x:col min="6" max="6" width="8" hidden="0" customWidth="1"/>
    <x:col min="7" max="7" width="50" hidden="0" customWidth="1"/>
    <x:col min="8" max="8" width="10" hidden="0" customWidth="1"/>
  </x:cols>
  <x:sheetData>
    <x:row r="1" ht="24.049999237060547" hidden="0">
      <x:c r="A1" s="2" t="s">
        <x:v>25</x:v>
      </x:c>
      <x:c r="B1" s="2" t="s">
        <x:v>411</x:v>
      </x:c>
      <x:c r="C1" s="2" t="s">
        <x:v>412</x:v>
      </x:c>
      <x:c r="D1" s="2" t="s">
        <x:v>31</x:v>
      </x:c>
      <x:c r="E1" s="2" t="s">
        <x:v>413</x:v>
      </x:c>
      <x:c r="F1" s="2" t="s">
        <x:v>414</x:v>
      </x:c>
      <x:c r="G1" s="2" t="s">
        <x:v>415</x:v>
      </x:c>
      <x:c r="H1" s="2" t="s">
        <x:v>416</x:v>
      </x:c>
    </x:row>
    <x:row r="2" ht="15" hidden="0">
      <x:c r="A2" s="5" t="s">
        <x:v>32</x:v>
      </x:c>
      <x:c r="B2" s="5" t="s">
        <x:v>417</x:v>
      </x:c>
      <x:c r="C2" s="5" t="s">
        <x:v>33</x:v>
      </x:c>
      <x:c r="D2" s="5" t="s">
        <x:v>418</x:v>
      </x:c>
      <x:c r="E2" s="5" t="s">
        <x:v>419</x:v>
      </x:c>
      <x:c r="F2" s="7" t="s">
        <x:v>420</x:v>
      </x:c>
      <x:c r="G2" s="5" t="s">
        <x:v>421</x:v>
      </x:c>
      <x:c r="H2" s="5" t="s">
        <x:v>422</x:v>
      </x:c>
    </x:row>
    <x:row r="3" ht="15" hidden="0">
      <x:c r="A3" s="6" t="s">
        <x:v>38</x:v>
      </x:c>
      <x:c r="B3" s="6" t="s">
        <x:v>417</x:v>
      </x:c>
      <x:c r="C3" s="6" t="s">
        <x:v>33</x:v>
      </x:c>
      <x:c r="D3" s="6" t="s">
        <x:v>423</x:v>
      </x:c>
      <x:c r="E3" s="6" t="s">
        <x:v>424</x:v>
      </x:c>
      <x:c r="F3" s="7" t="s">
        <x:v>420</x:v>
      </x:c>
      <x:c r="G3" s="6" t="s">
        <x:v>425</x:v>
      </x:c>
      <x:c r="H3" s="6" t="s">
        <x:v>422</x:v>
      </x:c>
    </x:row>
    <x:row r="4" ht="15" hidden="0">
      <x:c r="A4" s="5" t="s">
        <x:v>43</x:v>
      </x:c>
      <x:c r="B4" s="5" t="s">
        <x:v>417</x:v>
      </x:c>
      <x:c r="C4" s="5" t="s">
        <x:v>33</x:v>
      </x:c>
      <x:c r="D4" s="5" t="s">
        <x:v>426</x:v>
      </x:c>
      <x:c r="E4" s="5" t="s">
        <x:v>427</x:v>
      </x:c>
      <x:c r="F4" s="7" t="s">
        <x:v>420</x:v>
      </x:c>
      <x:c r="G4" s="5" t="s">
        <x:v>428</x:v>
      </x:c>
      <x:c r="H4" s="5" t="s">
        <x:v>422</x:v>
      </x:c>
    </x:row>
    <x:row r="5" ht="15" hidden="0">
      <x:c r="A5" s="6" t="s">
        <x:v>47</x:v>
      </x:c>
      <x:c r="B5" s="6" t="s">
        <x:v>417</x:v>
      </x:c>
      <x:c r="C5" s="6" t="s">
        <x:v>33</x:v>
      </x:c>
      <x:c r="D5" s="6" t="s">
        <x:v>429</x:v>
      </x:c>
      <x:c r="E5" s="6" t="s">
        <x:v>427</x:v>
      </x:c>
      <x:c r="F5" s="7" t="s">
        <x:v>420</x:v>
      </x:c>
      <x:c r="G5" s="6" t="s">
        <x:v>430</x:v>
      </x:c>
      <x:c r="H5" s="6" t="s">
        <x:v>422</x:v>
      </x:c>
    </x:row>
    <x:row r="6" ht="15" hidden="0">
      <x:c r="A6" s="5" t="s">
        <x:v>51</x:v>
      </x:c>
      <x:c r="B6" s="5" t="s">
        <x:v>417</x:v>
      </x:c>
      <x:c r="C6" s="5" t="s">
        <x:v>33</x:v>
      </x:c>
      <x:c r="D6" s="5" t="s">
        <x:v>431</x:v>
      </x:c>
      <x:c r="E6" s="5" t="s">
        <x:v>432</x:v>
      </x:c>
      <x:c r="F6" s="7" t="s">
        <x:v>420</x:v>
      </x:c>
      <x:c r="G6" s="5" t="s">
        <x:v>433</x:v>
      </x:c>
      <x:c r="H6" s="5" t="s">
        <x:v>422</x:v>
      </x:c>
    </x:row>
    <x:row r="7" ht="15" hidden="0">
      <x:c r="A7" s="6" t="s">
        <x:v>57</x:v>
      </x:c>
      <x:c r="B7" s="6" t="s">
        <x:v>417</x:v>
      </x:c>
      <x:c r="C7" s="6" t="s">
        <x:v>58</x:v>
      </x:c>
      <x:c r="D7" s="6" t="s">
        <x:v>434</x:v>
      </x:c>
      <x:c r="E7" s="6" t="s">
        <x:v>435</x:v>
      </x:c>
      <x:c r="F7" s="7" t="s">
        <x:v>420</x:v>
      </x:c>
      <x:c r="G7" s="6" t="s">
        <x:v>436</x:v>
      </x:c>
      <x:c r="H7" s="6" t="s">
        <x:v>422</x:v>
      </x:c>
    </x:row>
    <x:row r="8" ht="15" hidden="0">
      <x:c r="A8" s="5" t="s">
        <x:v>62</x:v>
      </x:c>
      <x:c r="B8" s="5" t="s">
        <x:v>417</x:v>
      </x:c>
      <x:c r="C8" s="5" t="s">
        <x:v>58</x:v>
      </x:c>
      <x:c r="D8" s="5" t="s">
        <x:v>437</x:v>
      </x:c>
      <x:c r="E8" s="5" t="s">
        <x:v>438</x:v>
      </x:c>
      <x:c r="F8" s="7" t="s">
        <x:v>420</x:v>
      </x:c>
      <x:c r="G8" s="5" t="s">
        <x:v>439</x:v>
      </x:c>
      <x:c r="H8" s="5" t="s">
        <x:v>422</x:v>
      </x:c>
    </x:row>
    <x:row r="9" ht="21.649999618530273" hidden="0">
      <x:c r="A9" s="6" t="s">
        <x:v>65</x:v>
      </x:c>
      <x:c r="B9" s="6" t="s">
        <x:v>417</x:v>
      </x:c>
      <x:c r="C9" s="6" t="s">
        <x:v>58</x:v>
      </x:c>
      <x:c r="D9" s="6" t="s">
        <x:v>440</x:v>
      </x:c>
      <x:c r="E9" s="6" t="str">
        <x:v>HTTP 403 JSON returned for non-coordinator session booking</x:v>
      </x:c>
      <x:c r="F9" s="8" t="str">
        <x:v>Pass</x:v>
      </x:c>
      <x:c r="G9" s="6" t="str">
        <x:v>Runtime check: {'status':'error','message':'Unauthorized: only club coordinators can book sessions.'}</x:v>
      </x:c>
      <x:c r="H9" s="6" t="s">
        <x:v>422</x:v>
      </x:c>
    </x:row>
    <x:row r="10" ht="15" hidden="0">
      <x:c r="A10" s="5" t="s">
        <x:v>69</x:v>
      </x:c>
      <x:c r="B10" s="5" t="s">
        <x:v>417</x:v>
      </x:c>
      <x:c r="C10" s="5" t="s">
        <x:v>70</x:v>
      </x:c>
      <x:c r="D10" s="5" t="s">
        <x:v>441</x:v>
      </x:c>
      <x:c r="E10" s="5" t="s">
        <x:v>442</x:v>
      </x:c>
      <x:c r="F10" s="7" t="s">
        <x:v>420</x:v>
      </x:c>
      <x:c r="G10" s="5" t="s">
        <x:v>443</x:v>
      </x:c>
      <x:c r="H10" s="5" t="s">
        <x:v>422</x:v>
      </x:c>
    </x:row>
    <x:row r="11" ht="15" hidden="0">
      <x:c r="A11" s="6" t="s">
        <x:v>74</x:v>
      </x:c>
      <x:c r="B11" s="6" t="s">
        <x:v>417</x:v>
      </x:c>
      <x:c r="C11" s="6" t="s">
        <x:v>70</x:v>
      </x:c>
      <x:c r="D11" s="6" t="s">
        <x:v>444</x:v>
      </x:c>
      <x:c r="E11" s="6" t="s">
        <x:v>445</x:v>
      </x:c>
      <x:c r="F11" s="7" t="s">
        <x:v>420</x:v>
      </x:c>
      <x:c r="G11" s="6" t="s">
        <x:v>439</x:v>
      </x:c>
      <x:c r="H11" s="6" t="s">
        <x:v>422</x:v>
      </x:c>
    </x:row>
    <x:row r="12" ht="15" hidden="0">
      <x:c r="A12" s="5" t="s">
        <x:v>77</x:v>
      </x:c>
      <x:c r="B12" s="5" t="s">
        <x:v>417</x:v>
      </x:c>
      <x:c r="C12" s="5" t="s">
        <x:v>70</x:v>
      </x:c>
      <x:c r="D12" s="5" t="s">
        <x:v>446</x:v>
      </x:c>
      <x:c r="E12" s="5" t="str">
        <x:v>HTTP 403 JSON returned for non-coordinator event booking</x:v>
      </x:c>
      <x:c r="F12" s="8" t="str">
        <x:v>Pass</x:v>
      </x:c>
      <x:c r="G12" s="5" t="str">
        <x:v>Runtime check: {'status':'error','message':'Unauthorized: only club coordinators can book events.'}</x:v>
      </x:c>
      <x:c r="H12" s="5" t="s">
        <x:v>422</x:v>
      </x:c>
    </x:row>
    <x:row r="13" ht="15" hidden="0">
      <x:c r="A13" s="6" t="s">
        <x:v>81</x:v>
      </x:c>
      <x:c r="B13" s="6" t="s">
        <x:v>417</x:v>
      </x:c>
      <x:c r="C13" s="6" t="s">
        <x:v>82</x:v>
      </x:c>
      <x:c r="D13" s="6" t="s">
        <x:v>447</x:v>
      </x:c>
      <x:c r="E13" s="6" t="s">
        <x:v>448</x:v>
      </x:c>
      <x:c r="F13" s="7" t="s">
        <x:v>420</x:v>
      </x:c>
      <x:c r="G13" s="6" t="s">
        <x:v>449</x:v>
      </x:c>
      <x:c r="H13" s="6" t="s">
        <x:v>422</x:v>
      </x:c>
    </x:row>
    <x:row r="14" ht="15" hidden="0">
      <x:c r="A14" s="5" t="s">
        <x:v>87</x:v>
      </x:c>
      <x:c r="B14" s="5" t="s">
        <x:v>417</x:v>
      </x:c>
      <x:c r="C14" s="5" t="s">
        <x:v>82</x:v>
      </x:c>
      <x:c r="D14" s="5" t="s">
        <x:v>450</x:v>
      </x:c>
      <x:c r="E14" s="5" t="s">
        <x:v>451</x:v>
      </x:c>
      <x:c r="F14" s="7" t="s">
        <x:v>420</x:v>
      </x:c>
      <x:c r="G14" s="5" t="s">
        <x:v>452</x:v>
      </x:c>
      <x:c r="H14" s="5" t="s">
        <x:v>422</x:v>
      </x:c>
    </x:row>
    <x:row r="15" ht="15" hidden="0">
      <x:c r="A15" s="6" t="s">
        <x:v>92</x:v>
      </x:c>
      <x:c r="B15" s="6" t="s">
        <x:v>417</x:v>
      </x:c>
      <x:c r="C15" s="6" t="s">
        <x:v>82</x:v>
      </x:c>
      <x:c r="D15" s="6" t="s">
        <x:v>453</x:v>
      </x:c>
      <x:c r="E15" s="6" t="s">
        <x:v>454</x:v>
      </x:c>
      <x:c r="F15" s="7" t="s">
        <x:v>420</x:v>
      </x:c>
      <x:c r="G15" s="6" t="s">
        <x:v>455</x:v>
      </x:c>
      <x:c r="H15" s="6" t="s">
        <x:v>422</x:v>
      </x:c>
    </x:row>
    <x:row r="16" ht="15" hidden="0">
      <x:c r="A16" s="5" t="s">
        <x:v>97</x:v>
      </x:c>
      <x:c r="B16" s="5" t="s">
        <x:v>417</x:v>
      </x:c>
      <x:c r="C16" s="5" t="s">
        <x:v>98</x:v>
      </x:c>
      <x:c r="D16" s="5" t="s">
        <x:v>456</x:v>
      </x:c>
      <x:c r="E16" s="5" t="s">
        <x:v>457</x:v>
      </x:c>
      <x:c r="F16" s="7" t="s">
        <x:v>420</x:v>
      </x:c>
      <x:c r="G16" s="5" t="s">
        <x:v>458</x:v>
      </x:c>
      <x:c r="H16" s="5" t="s">
        <x:v>422</x:v>
      </x:c>
    </x:row>
    <x:row r="17" ht="15" hidden="0">
      <x:c r="A17" s="6" t="s">
        <x:v>103</x:v>
      </x:c>
      <x:c r="B17" s="6" t="s">
        <x:v>417</x:v>
      </x:c>
      <x:c r="C17" s="6" t="s">
        <x:v>98</x:v>
      </x:c>
      <x:c r="D17" s="6" t="s">
        <x:v>459</x:v>
      </x:c>
      <x:c r="E17" s="6" t="s">
        <x:v>460</x:v>
      </x:c>
      <x:c r="F17" s="7" t="s">
        <x:v>420</x:v>
      </x:c>
      <x:c r="G17" s="6" t="s">
        <x:v>461</x:v>
      </x:c>
      <x:c r="H17" s="6" t="s">
        <x:v>422</x:v>
      </x:c>
    </x:row>
    <x:row r="18" ht="21.649999618530273" hidden="0">
      <x:c r="A18" s="5" t="s">
        <x:v>108</x:v>
      </x:c>
      <x:c r="B18" s="5" t="s">
        <x:v>417</x:v>
      </x:c>
      <x:c r="C18" s="5" t="s">
        <x:v>98</x:v>
      </x:c>
      <x:c r="D18" s="5" t="s">
        <x:v>446</x:v>
      </x:c>
      <x:c r="E18" s="5" t="str">
        <x:v>HTTP 403 JSON returned; non-coordinator approval blocked</x:v>
      </x:c>
      <x:c r="F18" s="9" t="str">
        <x:v>Pass</x:v>
      </x:c>
      <x:c r="G18" s="5" t="str">
        <x:v>Runtime check: {'status':'error','message':'Unauthorized: only club coordinators can approve memberships.'}</x:v>
      </x:c>
      <x:c r="H18" s="5" t="s">
        <x:v>422</x:v>
      </x:c>
    </x:row>
    <x:row r="19" ht="15" hidden="0">
      <x:c r="A19" s="6" t="s">
        <x:v>112</x:v>
      </x:c>
      <x:c r="B19" s="6" t="s">
        <x:v>417</x:v>
      </x:c>
      <x:c r="C19" s="6" t="s">
        <x:v>113</x:v>
      </x:c>
      <x:c r="D19" s="6" t="s">
        <x:v>462</x:v>
      </x:c>
      <x:c r="E19" s="6" t="s">
        <x:v>463</x:v>
      </x:c>
      <x:c r="F19" s="7" t="s">
        <x:v>420</x:v>
      </x:c>
      <x:c r="G19" s="6" t="s">
        <x:v>464</x:v>
      </x:c>
      <x:c r="H19" s="6" t="s">
        <x:v>422</x:v>
      </x:c>
    </x:row>
    <x:row r="20" ht="21.649999618530273" hidden="0">
      <x:c r="A20" s="5" t="s">
        <x:v>118</x:v>
      </x:c>
      <x:c r="B20" s="5" t="s">
        <x:v>417</x:v>
      </x:c>
      <x:c r="C20" s="5" t="s">
        <x:v>113</x:v>
      </x:c>
      <x:c r="D20" s="5" t="s">
        <x:v>465</x:v>
      </x:c>
      <x:c r="E20" s="5" t="str">
        <x:v>HTTP 200 JSON error returned for single-choice poll</x:v>
      </x:c>
      <x:c r="F20" s="9" t="str">
        <x:v>Pass</x:v>
      </x:c>
      <x:c r="G20" s="5" t="str">
        <x:v>Runtime check: {'status':'error','message':'A poll must have at least 2 choices.'}</x:v>
      </x:c>
      <x:c r="H20" s="5" t="s">
        <x:v>422</x:v>
      </x:c>
    </x:row>
    <x:row r="21" ht="15" hidden="0">
      <x:c r="A21" s="6" t="s">
        <x:v>121</x:v>
      </x:c>
      <x:c r="B21" s="6" t="s">
        <x:v>417</x:v>
      </x:c>
      <x:c r="C21" s="6" t="s">
        <x:v>113</x:v>
      </x:c>
      <x:c r="D21" s="6" t="s">
        <x:v>466</x:v>
      </x:c>
      <x:c r="E21" s="6" t="str">
        <x:v>HTTP 403 JSON returned; non-coordinator poll creation blocked</x:v>
      </x:c>
      <x:c r="F21" s="9" t="str">
        <x:v>Pass</x:v>
      </x:c>
      <x:c r="G21" s="6" t="str">
        <x:v>Runtime check: {'status':'error','message':'Unauthorized: only club coordinators can create polls.'}</x:v>
      </x:c>
      <x:c r="H21" s="6" t="s">
        <x:v>422</x:v>
      </x:c>
    </x:row>
    <x:row r="22" ht="15" hidden="0">
      <x:c r="A22" s="5" t="s">
        <x:v>124</x:v>
      </x:c>
      <x:c r="B22" s="5" t="s">
        <x:v>417</x:v>
      </x:c>
      <x:c r="C22" s="5" t="s">
        <x:v>125</x:v>
      </x:c>
      <x:c r="D22" s="5" t="s">
        <x:v>467</x:v>
      </x:c>
      <x:c r="E22" s="5" t="s">
        <x:v>468</x:v>
      </x:c>
      <x:c r="F22" s="7" t="s">
        <x:v>420</x:v>
      </x:c>
      <x:c r="G22" s="5" t="s">
        <x:v>469</x:v>
      </x:c>
      <x:c r="H22" s="5" t="s">
        <x:v>422</x:v>
      </x:c>
    </x:row>
    <x:row r="23" ht="15" hidden="0">
      <x:c r="A23" s="6" t="s">
        <x:v>130</x:v>
      </x:c>
      <x:c r="B23" s="6" t="s">
        <x:v>417</x:v>
      </x:c>
      <x:c r="C23" s="6" t="s">
        <x:v>125</x:v>
      </x:c>
      <x:c r="D23" s="6" t="s">
        <x:v>470</x:v>
      </x:c>
      <x:c r="E23" s="6" t="s">
        <x:v>471</x:v>
      </x:c>
      <x:c r="F23" s="7" t="s">
        <x:v>420</x:v>
      </x:c>
      <x:c r="G23" s="6" t="s">
        <x:v>472</x:v>
      </x:c>
      <x:c r="H23" s="6" t="s">
        <x:v>422</x:v>
      </x:c>
    </x:row>
    <x:row r="24" ht="15" hidden="0">
      <x:c r="A24" s="5" t="s">
        <x:v>134</x:v>
      </x:c>
      <x:c r="B24" s="5" t="s">
        <x:v>417</x:v>
      </x:c>
      <x:c r="C24" s="5" t="s">
        <x:v>125</x:v>
      </x:c>
      <x:c r="D24" s="5" t="s">
        <x:v>473</x:v>
      </x:c>
      <x:c r="E24" s="5" t="s">
        <x:v>474</x:v>
      </x:c>
      <x:c r="F24" s="7" t="s">
        <x:v>420</x:v>
      </x:c>
      <x:c r="G24" s="5" t="s">
        <x:v>455</x:v>
      </x:c>
      <x:c r="H24" s="5" t="s">
        <x:v>422</x:v>
      </x:c>
    </x:row>
    <x:row r="25" ht="15" hidden="0">
      <x:c r="A25" s="6" t="s">
        <x:v>139</x:v>
      </x:c>
      <x:c r="B25" s="6" t="s">
        <x:v>417</x:v>
      </x:c>
      <x:c r="C25" s="6" t="s">
        <x:v>140</x:v>
      </x:c>
      <x:c r="D25" s="6" t="s">
        <x:v>475</x:v>
      </x:c>
      <x:c r="E25" s="6" t="s">
        <x:v>476</x:v>
      </x:c>
      <x:c r="F25" s="7" t="s">
        <x:v>420</x:v>
      </x:c>
      <x:c r="G25" s="6" t="s">
        <x:v>477</x:v>
      </x:c>
      <x:c r="H25" s="6" t="s">
        <x:v>422</x:v>
      </x:c>
    </x:row>
    <x:row r="26" ht="15" hidden="0">
      <x:c r="A26" s="5" t="s">
        <x:v>145</x:v>
      </x:c>
      <x:c r="B26" s="5" t="s">
        <x:v>417</x:v>
      </x:c>
      <x:c r="C26" s="5" t="s">
        <x:v>140</x:v>
      </x:c>
      <x:c r="D26" s="5" t="s">
        <x:v>478</x:v>
      </x:c>
      <x:c r="E26" s="5" t="s">
        <x:v>454</x:v>
      </x:c>
      <x:c r="F26" s="7" t="s">
        <x:v>420</x:v>
      </x:c>
      <x:c r="G26" s="5" t="s">
        <x:v>455</x:v>
      </x:c>
      <x:c r="H26" s="5" t="s">
        <x:v>422</x:v>
      </x:c>
    </x:row>
    <x:row r="27" ht="21.649999618530273" hidden="0">
      <x:c r="A27" s="6" t="s">
        <x:v>150</x:v>
      </x:c>
      <x:c r="B27" s="6" t="s">
        <x:v>417</x:v>
      </x:c>
      <x:c r="C27" s="6" t="s">
        <x:v>140</x:v>
      </x:c>
      <x:c r="D27" s="6" t="s">
        <x:v>466</x:v>
      </x:c>
      <x:c r="E27" s="6" t="s">
        <x:v>479</x:v>
      </x:c>
      <x:c r="F27" s="9" t="s">
        <x:v>480</x:v>
      </x:c>
      <x:c r="G27" s="6" t="s">
        <x:v>481</x:v>
      </x:c>
      <x:c r="H27" s="6" t="s">
        <x:v>422</x:v>
      </x:c>
    </x:row>
    <x:row r="28" ht="15" hidden="0">
      <x:c r="A28" s="5" t="s">
        <x:v>154</x:v>
      </x:c>
      <x:c r="B28" s="5" t="s">
        <x:v>417</x:v>
      </x:c>
      <x:c r="C28" s="5" t="s">
        <x:v>155</x:v>
      </x:c>
      <x:c r="D28" s="5" t="s">
        <x:v>482</x:v>
      </x:c>
      <x:c r="E28" s="5" t="s">
        <x:v>483</x:v>
      </x:c>
      <x:c r="F28" s="7" t="s">
        <x:v>420</x:v>
      </x:c>
      <x:c r="G28" s="5" t="s">
        <x:v>484</x:v>
      </x:c>
      <x:c r="H28" s="5" t="s">
        <x:v>422</x:v>
      </x:c>
    </x:row>
    <x:row r="29" ht="15" hidden="0">
      <x:c r="A29" s="6" t="s">
        <x:v>159</x:v>
      </x:c>
      <x:c r="B29" s="6" t="s">
        <x:v>417</x:v>
      </x:c>
      <x:c r="C29" s="6" t="s">
        <x:v>155</x:v>
      </x:c>
      <x:c r="D29" s="6" t="s">
        <x:v>485</x:v>
      </x:c>
      <x:c r="E29" s="6" t="s">
        <x:v>486</x:v>
      </x:c>
      <x:c r="F29" s="7" t="s">
        <x:v>420</x:v>
      </x:c>
      <x:c r="G29" s="6" t="s">
        <x:v>487</x:v>
      </x:c>
      <x:c r="H29" s="6" t="s">
        <x:v>422</x:v>
      </x:c>
    </x:row>
    <x:row r="30" ht="21.649999618530273" hidden="0">
      <x:c r="A30" s="5" t="s">
        <x:v>162</x:v>
      </x:c>
      <x:c r="B30" s="5" t="s">
        <x:v>417</x:v>
      </x:c>
      <x:c r="C30" s="5" t="s">
        <x:v>155</x:v>
      </x:c>
      <x:c r="D30" s="5" t="s">
        <x:v>488</x:v>
      </x:c>
      <x:c r="E30" s="5" t="s">
        <x:v>489</x:v>
      </x:c>
      <x:c r="F30" s="8" t="s">
        <x:v>490</x:v>
      </x:c>
      <x:c r="G30" s="5" t="s">
        <x:v>491</x:v>
      </x:c>
      <x:c r="H30" s="5" t="s">
        <x:v>422</x:v>
      </x:c>
    </x:row>
    <x:row r="31" ht="15" hidden="0">
      <x:c r="A31" s="6" t="s">
        <x:v>166</x:v>
      </x:c>
      <x:c r="B31" s="6" t="s">
        <x:v>417</x:v>
      </x:c>
      <x:c r="C31" s="6" t="s">
        <x:v>167</x:v>
      </x:c>
      <x:c r="D31" s="6" t="s">
        <x:v>492</x:v>
      </x:c>
      <x:c r="E31" s="6" t="s">
        <x:v>493</x:v>
      </x:c>
      <x:c r="F31" s="7" t="s">
        <x:v>420</x:v>
      </x:c>
      <x:c r="G31" s="6" t="s">
        <x:v>494</x:v>
      </x:c>
      <x:c r="H31" s="6" t="s">
        <x:v>422</x:v>
      </x:c>
    </x:row>
    <x:row r="32" ht="15" hidden="0">
      <x:c r="A32" s="5" t="s">
        <x:v>170</x:v>
      </x:c>
      <x:c r="B32" s="5" t="s">
        <x:v>417</x:v>
      </x:c>
      <x:c r="C32" s="5" t="s">
        <x:v>167</x:v>
      </x:c>
      <x:c r="D32" s="5" t="s">
        <x:v>495</x:v>
      </x:c>
      <x:c r="E32" s="5" t="s">
        <x:v>496</x:v>
      </x:c>
      <x:c r="F32" s="7" t="s">
        <x:v>420</x:v>
      </x:c>
      <x:c r="G32" s="5" t="s">
        <x:v>497</x:v>
      </x:c>
      <x:c r="H32" s="5" t="s">
        <x:v>422</x:v>
      </x:c>
    </x:row>
    <x:row r="33" ht="15" hidden="0">
      <x:c r="A33" s="6" t="s">
        <x:v>172</x:v>
      </x:c>
      <x:c r="B33" s="6" t="s">
        <x:v>417</x:v>
      </x:c>
      <x:c r="C33" s="6" t="s">
        <x:v>167</x:v>
      </x:c>
      <x:c r="D33" s="6" t="s">
        <x:v>498</x:v>
      </x:c>
      <x:c r="E33" s="6" t="s">
        <x:v>499</x:v>
      </x:c>
      <x:c r="F33" s="8" t="s">
        <x:v>490</x:v>
      </x:c>
      <x:c r="G33" s="6" t="s">
        <x:v>500</x:v>
      </x:c>
      <x:c r="H33" s="6" t="s">
        <x:v>422</x:v>
      </x:c>
    </x:row>
    <x:row r="34" ht="21.649999618530273" hidden="0">
      <x:c r="A34" s="5" t="s">
        <x:v>174</x:v>
      </x:c>
      <x:c r="B34" s="5" t="s">
        <x:v>417</x:v>
      </x:c>
      <x:c r="C34" s="5" t="s">
        <x:v>58</x:v>
      </x:c>
      <x:c r="D34" s="5" t="s">
        <x:v>501</x:v>
      </x:c>
      <x:c r="E34" s="5" t="str">
        <x:v>Equal start/end times rejected with error</x:v>
      </x:c>
      <x:c r="F34" s="9" t="str">
        <x:v>Pass</x:v>
      </x:c>
      <x:c r="G34" s="5" t="str">
        <x:v>Runtime check: conflict_algorithm_session('10:00','10:00') returns error</x:v>
      </x:c>
      <x:c r="H34" s="5" t="s">
        <x:v>422</x:v>
      </x:c>
    </x:row>
    <x:row r="35" ht="21.649999618530273" hidden="0">
      <x:c r="A35" s="6" t="s">
        <x:v>179</x:v>
      </x:c>
      <x:c r="B35" s="6" t="s">
        <x:v>417</x:v>
      </x:c>
      <x:c r="C35" s="6" t="s">
        <x:v>58</x:v>
      </x:c>
      <x:c r="D35" s="6" t="s">
        <x:v>502</x:v>
      </x:c>
      <x:c r="E35" s="6" t="str">
        <x:v>Reversed start/end times rejected with error</x:v>
      </x:c>
      <x:c r="F35" s="9" t="str">
        <x:v>Pass</x:v>
      </x:c>
      <x:c r="G35" s="6" t="str">
        <x:v>Runtime check: conflict_algorithm_session('14:00','10:00') returns error</x:v>
      </x:c>
      <x:c r="H35" s="6" t="s">
        <x:v>422</x:v>
      </x:c>
    </x:row>
    <x:row r="36" ht="21.649999618530273" hidden="0">
      <x:c r="A36" s="5" t="s">
        <x:v>183</x:v>
      </x:c>
      <x:c r="B36" s="5" t="s">
        <x:v>417</x:v>
      </x:c>
      <x:c r="C36" s="5" t="s">
        <x:v>125</x:v>
      </x:c>
      <x:c r="D36" s="5" t="s">
        <x:v>503</x:v>
      </x:c>
      <x:c r="E36" s="5" t="str">
        <x:v>Out-of-group student receives eligibility error</x:v>
      </x:c>
      <x:c r="F36" s="8" t="str">
        <x:v>Pass</x:v>
      </x:c>
      <x:c r="G36" s="5" t="str">
        <x:v>Runtime check: {'status':'error','message':'You are not eligible to vote in this poll.'}</x:v>
      </x:c>
      <x:c r="H36" s="5" t="s">
        <x:v>422</x:v>
      </x:c>
    </x:row>
    <x:row r="37" ht="15" hidden="0">
      <x:c r="A37" s="6" t="s">
        <x:v>187</x:v>
      </x:c>
      <x:c r="B37" s="6" t="s">
        <x:v>417</x:v>
      </x:c>
      <x:c r="C37" s="6" t="s">
        <x:v>98</x:v>
      </x:c>
      <x:c r="D37" s="6" t="s">
        <x:v>504</x:v>
      </x:c>
      <x:c r="E37" s="6" t="s">
        <x:v>505</x:v>
      </x:c>
      <x:c r="F37" s="7" t="s">
        <x:v>420</x:v>
      </x:c>
      <x:c r="G37" s="6" t="s">
        <x:v>506</x:v>
      </x:c>
      <x:c r="H37" s="6" t="s">
        <x:v>422</x:v>
      </x:c>
    </x:row>
    <x:row r="38" ht="15" hidden="0">
      <x:c r="A38" s="5" t="s">
        <x:v>192</x:v>
      </x:c>
      <x:c r="B38" s="5" t="s">
        <x:v>417</x:v>
      </x:c>
      <x:c r="C38" s="5" t="s">
        <x:v>113</x:v>
      </x:c>
      <x:c r="D38" s="5" t="s">
        <x:v>507</x:v>
      </x:c>
      <x:c r="E38" s="5" t="s">
        <x:v>508</x:v>
      </x:c>
      <x:c r="F38" s="7" t="s">
        <x:v>420</x:v>
      </x:c>
      <x:c r="G38" s="5" t="s">
        <x:v>509</x:v>
      </x:c>
      <x:c r="H38" s="5" t="s">
        <x:v>422</x:v>
      </x:c>
    </x:row>
    <x:row r="39" ht="15" hidden="0">
      <x:c r="A39" s="6" t="s">
        <x:v>197</x:v>
      </x:c>
      <x:c r="B39" s="6" t="s">
        <x:v>510</x:v>
      </x:c>
      <x:c r="C39" s="6" t="s">
        <x:v>198</x:v>
      </x:c>
      <x:c r="D39" s="6" t="s">
        <x:v>511</x:v>
      </x:c>
      <x:c r="E39" s="6" t="s">
        <x:v>512</x:v>
      </x:c>
      <x:c r="F39" s="7" t="s">
        <x:v>420</x:v>
      </x:c>
      <x:c r="G39" s="6" t="s">
        <x:v>513</x:v>
      </x:c>
      <x:c r="H39" s="6" t="s">
        <x:v>422</x:v>
      </x:c>
    </x:row>
    <x:row r="40" ht="15" hidden="0">
      <x:c r="A40" s="5" t="s">
        <x:v>202</x:v>
      </x:c>
      <x:c r="B40" s="5" t="s">
        <x:v>510</x:v>
      </x:c>
      <x:c r="C40" s="5" t="s">
        <x:v>198</x:v>
      </x:c>
      <x:c r="D40" s="5" t="s">
        <x:v>514</x:v>
      </x:c>
      <x:c r="E40" s="5" t="s">
        <x:v>454</x:v>
      </x:c>
      <x:c r="F40" s="7" t="s">
        <x:v>420</x:v>
      </x:c>
      <x:c r="G40" s="5" t="s">
        <x:v>474</x:v>
      </x:c>
      <x:c r="H40" s="5" t="s">
        <x:v>422</x:v>
      </x:c>
    </x:row>
    <x:row r="41" ht="15" hidden="0">
      <x:c r="A41" s="6" t="s">
        <x:v>206</x:v>
      </x:c>
      <x:c r="B41" s="6" t="s">
        <x:v>510</x:v>
      </x:c>
      <x:c r="C41" s="6" t="s">
        <x:v>207</x:v>
      </x:c>
      <x:c r="D41" s="6" t="s">
        <x:v>515</x:v>
      </x:c>
      <x:c r="E41" s="6" t="s">
        <x:v>516</x:v>
      </x:c>
      <x:c r="F41" s="7" t="s">
        <x:v>420</x:v>
      </x:c>
      <x:c r="G41" s="6" t="s">
        <x:v>513</x:v>
      </x:c>
      <x:c r="H41" s="6" t="s">
        <x:v>422</x:v>
      </x:c>
    </x:row>
    <x:row r="42" ht="15" hidden="0">
      <x:c r="A42" s="5" t="s">
        <x:v>210</x:v>
      </x:c>
      <x:c r="B42" s="5" t="s">
        <x:v>510</x:v>
      </x:c>
      <x:c r="C42" s="5" t="s">
        <x:v>207</x:v>
      </x:c>
      <x:c r="D42" s="5" t="s">
        <x:v>517</x:v>
      </x:c>
      <x:c r="E42" s="5" t="s">
        <x:v>474</x:v>
      </x:c>
      <x:c r="F42" s="7" t="s">
        <x:v>420</x:v>
      </x:c>
      <x:c r="G42" s="5" t="s">
        <x:v>474</x:v>
      </x:c>
      <x:c r="H42" s="5" t="s">
        <x:v>422</x:v>
      </x:c>
    </x:row>
    <x:row r="43" ht="15" hidden="0">
      <x:c r="A43" s="6" t="s">
        <x:v>212</x:v>
      </x:c>
      <x:c r="B43" s="6" t="s">
        <x:v>510</x:v>
      </x:c>
      <x:c r="C43" s="6" t="s">
        <x:v>213</x:v>
      </x:c>
      <x:c r="D43" s="6" t="s">
        <x:v>518</x:v>
      </x:c>
      <x:c r="E43" s="6" t="s">
        <x:v>519</x:v>
      </x:c>
      <x:c r="F43" s="7" t="s">
        <x:v>420</x:v>
      </x:c>
      <x:c r="G43" s="6" t="s">
        <x:v>520</x:v>
      </x:c>
      <x:c r="H43" s="6" t="s">
        <x:v>422</x:v>
      </x:c>
    </x:row>
    <x:row r="44" ht="15" hidden="0">
      <x:c r="A44" s="5" t="s">
        <x:v>215</x:v>
      </x:c>
      <x:c r="B44" s="5" t="s">
        <x:v>510</x:v>
      </x:c>
      <x:c r="C44" s="5" t="s">
        <x:v>213</x:v>
      </x:c>
      <x:c r="D44" s="5" t="s">
        <x:v>521</x:v>
      </x:c>
      <x:c r="E44" s="5" t="s">
        <x:v>522</x:v>
      </x:c>
      <x:c r="F44" s="7" t="s">
        <x:v>420</x:v>
      </x:c>
      <x:c r="G44" s="5" t="s">
        <x:v>523</x:v>
      </x:c>
      <x:c r="H44" s="5" t="s">
        <x:v>422</x:v>
      </x:c>
    </x:row>
    <x:row r="45" ht="15" hidden="0">
      <x:c r="A45" s="6" t="s">
        <x:v>217</x:v>
      </x:c>
      <x:c r="B45" s="6" t="s">
        <x:v>510</x:v>
      </x:c>
      <x:c r="C45" s="6" t="s">
        <x:v>213</x:v>
      </x:c>
      <x:c r="D45" s="6" t="s">
        <x:v>524</x:v>
      </x:c>
      <x:c r="E45" s="6" t="s">
        <x:v>525</x:v>
      </x:c>
      <x:c r="F45" s="7" t="s">
        <x:v>420</x:v>
      </x:c>
      <x:c r="G45" s="6" t="s">
        <x:v>526</x:v>
      </x:c>
      <x:c r="H45" s="6" t="s">
        <x:v>422</x:v>
      </x:c>
    </x:row>
    <x:row r="46" ht="15" hidden="0">
      <x:c r="A46" s="5" t="s">
        <x:v>219</x:v>
      </x:c>
      <x:c r="B46" s="5" t="s">
        <x:v>510</x:v>
      </x:c>
      <x:c r="C46" s="5" t="s">
        <x:v>213</x:v>
      </x:c>
      <x:c r="D46" s="5" t="s">
        <x:v>527</x:v>
      </x:c>
      <x:c r="E46" s="5" t="s">
        <x:v>528</x:v>
      </x:c>
      <x:c r="F46" s="7" t="s">
        <x:v>420</x:v>
      </x:c>
      <x:c r="G46" s="5" t="s">
        <x:v>529</x:v>
      </x:c>
      <x:c r="H46" s="5" t="s">
        <x:v>422</x:v>
      </x:c>
    </x:row>
    <x:row r="47" ht="15" hidden="0">
      <x:c r="A47" s="6" t="s">
        <x:v>221</x:v>
      </x:c>
      <x:c r="B47" s="6" t="s">
        <x:v>510</x:v>
      </x:c>
      <x:c r="C47" s="6" t="s">
        <x:v>222</x:v>
      </x:c>
      <x:c r="D47" s="6" t="s">
        <x:v>530</x:v>
      </x:c>
      <x:c r="E47" s="6" t="s">
        <x:v>531</x:v>
      </x:c>
      <x:c r="F47" s="7" t="s">
        <x:v>420</x:v>
      </x:c>
      <x:c r="G47" s="6" t="s">
        <x:v>532</x:v>
      </x:c>
      <x:c r="H47" s="6" t="s">
        <x:v>422</x:v>
      </x:c>
    </x:row>
    <x:row r="48" ht="21.649999618530273" hidden="0">
      <x:c r="A48" s="5" t="s">
        <x:v>225</x:v>
      </x:c>
      <x:c r="B48" s="5" t="s">
        <x:v>510</x:v>
      </x:c>
      <x:c r="C48" s="5" t="s">
        <x:v>222</x:v>
      </x:c>
      <x:c r="D48" s="5" t="s">
        <x:v>533</x:v>
      </x:c>
      <x:c r="E48" s="5" t="str">
        <x:v>Invalid time range rejected before session creation</x:v>
      </x:c>
      <x:c r="F48" s="9" t="str">
        <x:v>Pass</x:v>
      </x:c>
      <x:c r="G48" s="5" t="str">
        <x:v>Runtime/code check: conflict_algorithm_session validates start_time &lt; end_time</x:v>
      </x:c>
      <x:c r="H48" s="5" t="s">
        <x:v>422</x:v>
      </x:c>
    </x:row>
    <x:row r="49" ht="15" hidden="0">
      <x:c r="A49" s="6" t="s">
        <x:v>228</x:v>
      </x:c>
      <x:c r="B49" s="6" t="s">
        <x:v>510</x:v>
      </x:c>
      <x:c r="C49" s="6" t="s">
        <x:v>229</x:v>
      </x:c>
      <x:c r="D49" s="6" t="s">
        <x:v>534</x:v>
      </x:c>
      <x:c r="E49" s="6" t="s">
        <x:v>535</x:v>
      </x:c>
      <x:c r="F49" s="7" t="s">
        <x:v>420</x:v>
      </x:c>
      <x:c r="G49" s="6" t="s">
        <x:v>536</x:v>
      </x:c>
      <x:c r="H49" s="6" t="s">
        <x:v>422</x:v>
      </x:c>
    </x:row>
    <x:row r="50" ht="15" hidden="0">
      <x:c r="A50" s="5" t="s">
        <x:v>232</x:v>
      </x:c>
      <x:c r="B50" s="5" t="s">
        <x:v>510</x:v>
      </x:c>
      <x:c r="C50" s="5" t="s">
        <x:v>229</x:v>
      </x:c>
      <x:c r="D50" s="5" t="s">
        <x:v>537</x:v>
      </x:c>
      <x:c r="E50" s="5" t="s">
        <x:v>538</x:v>
      </x:c>
      <x:c r="F50" s="7" t="s">
        <x:v>420</x:v>
      </x:c>
      <x:c r="G50" s="5" t="s">
        <x:v>539</x:v>
      </x:c>
      <x:c r="H50" s="5" t="s">
        <x:v>422</x:v>
      </x:c>
    </x:row>
    <x:row r="51" ht="15" hidden="0">
      <x:c r="A51" s="6" t="s">
        <x:v>235</x:v>
      </x:c>
      <x:c r="B51" s="6" t="s">
        <x:v>510</x:v>
      </x:c>
      <x:c r="C51" s="6" t="s">
        <x:v>236</x:v>
      </x:c>
      <x:c r="D51" s="6" t="s">
        <x:v>540</x:v>
      </x:c>
      <x:c r="E51" s="6" t="s">
        <x:v>541</x:v>
      </x:c>
      <x:c r="F51" s="7" t="s">
        <x:v>420</x:v>
      </x:c>
      <x:c r="G51" s="6" t="s">
        <x:v>542</x:v>
      </x:c>
      <x:c r="H51" s="6" t="s">
        <x:v>422</x:v>
      </x:c>
    </x:row>
    <x:row r="52" ht="15" hidden="0">
      <x:c r="A52" s="5" t="s">
        <x:v>239</x:v>
      </x:c>
      <x:c r="B52" s="5" t="s">
        <x:v>510</x:v>
      </x:c>
      <x:c r="C52" s="5" t="s">
        <x:v>236</x:v>
      </x:c>
      <x:c r="D52" s="5" t="s">
        <x:v>543</x:v>
      </x:c>
      <x:c r="E52" s="5" t="s">
        <x:v>544</x:v>
      </x:c>
      <x:c r="F52" s="7" t="s">
        <x:v>420</x:v>
      </x:c>
      <x:c r="G52" s="5" t="s">
        <x:v>545</x:v>
      </x:c>
      <x:c r="H52" s="5" t="s">
        <x:v>422</x:v>
      </x:c>
    </x:row>
    <x:row r="53" ht="15" hidden="0">
      <x:c r="A53" s="6" t="s">
        <x:v>242</x:v>
      </x:c>
      <x:c r="B53" s="6" t="s">
        <x:v>510</x:v>
      </x:c>
      <x:c r="C53" s="6" t="s">
        <x:v>243</x:v>
      </x:c>
      <x:c r="D53" s="6" t="s">
        <x:v>546</x:v>
      </x:c>
      <x:c r="E53" s="6" t="s">
        <x:v>547</x:v>
      </x:c>
      <x:c r="F53" s="7" t="s">
        <x:v>420</x:v>
      </x:c>
      <x:c r="G53" s="6" t="s">
        <x:v>548</x:v>
      </x:c>
      <x:c r="H53" s="6" t="s">
        <x:v>422</x:v>
      </x:c>
    </x:row>
    <x:row r="54" ht="21.649999618530273" hidden="0">
      <x:c r="A54" s="5" t="s">
        <x:v>246</x:v>
      </x:c>
      <x:c r="B54" s="5" t="s">
        <x:v>510</x:v>
      </x:c>
      <x:c r="C54" s="5" t="s">
        <x:v>243</x:v>
      </x:c>
      <x:c r="D54" s="5" t="s">
        <x:v>549</x:v>
      </x:c>
      <x:c r="E54" s="5" t="str">
        <x:v>HTTP 403 JSON returned; non-coordinator approval blocked</x:v>
      </x:c>
      <x:c r="F54" s="9" t="str">
        <x:v>Pass</x:v>
      </x:c>
      <x:c r="G54" s="5" t="str">
        <x:v>Runtime/code check: approve() now checks coordinator_club(request)</x:v>
      </x:c>
      <x:c r="H54" s="5" t="s">
        <x:v>422</x:v>
      </x:c>
    </x:row>
    <x:row r="55" ht="15" hidden="0">
      <x:c r="A55" s="6" t="s">
        <x:v>248</x:v>
      </x:c>
      <x:c r="B55" s="6" t="s">
        <x:v>510</x:v>
      </x:c>
      <x:c r="C55" s="6" t="s">
        <x:v>249</x:v>
      </x:c>
      <x:c r="D55" s="6" t="s">
        <x:v>550</x:v>
      </x:c>
      <x:c r="E55" s="6" t="s">
        <x:v>551</x:v>
      </x:c>
      <x:c r="F55" s="7" t="s">
        <x:v>420</x:v>
      </x:c>
      <x:c r="G55" s="6" t="s">
        <x:v>458</x:v>
      </x:c>
      <x:c r="H55" s="6" t="s">
        <x:v>422</x:v>
      </x:c>
    </x:row>
    <x:row r="56" ht="15" hidden="0">
      <x:c r="A56" s="5" t="s">
        <x:v>252</x:v>
      </x:c>
      <x:c r="B56" s="5" t="s">
        <x:v>510</x:v>
      </x:c>
      <x:c r="C56" s="5" t="s">
        <x:v>249</x:v>
      </x:c>
      <x:c r="D56" s="5" t="s">
        <x:v>552</x:v>
      </x:c>
      <x:c r="E56" s="5" t="s">
        <x:v>553</x:v>
      </x:c>
      <x:c r="F56" s="7" t="s">
        <x:v>420</x:v>
      </x:c>
      <x:c r="G56" s="5" t="s">
        <x:v>554</x:v>
      </x:c>
      <x:c r="H56" s="5" t="s">
        <x:v>422</x:v>
      </x:c>
    </x:row>
    <x:row r="57" ht="15" hidden="0">
      <x:c r="A57" s="6" t="s">
        <x:v>255</x:v>
      </x:c>
      <x:c r="B57" s="6" t="s">
        <x:v>510</x:v>
      </x:c>
      <x:c r="C57" s="6" t="s">
        <x:v>256</x:v>
      </x:c>
      <x:c r="D57" s="6" t="s">
        <x:v>555</x:v>
      </x:c>
      <x:c r="E57" s="6" t="s">
        <x:v>556</x:v>
      </x:c>
      <x:c r="F57" s="7" t="s">
        <x:v>420</x:v>
      </x:c>
      <x:c r="G57" s="6" t="s">
        <x:v>557</x:v>
      </x:c>
      <x:c r="H57" s="6" t="s">
        <x:v>422</x:v>
      </x:c>
    </x:row>
    <x:row r="58" ht="21.649999618530273" hidden="0">
      <x:c r="A58" s="5" t="s">
        <x:v>259</x:v>
      </x:c>
      <x:c r="B58" s="5" t="s">
        <x:v>510</x:v>
      </x:c>
      <x:c r="C58" s="5" t="s">
        <x:v>256</x:v>
      </x:c>
      <x:c r="D58" s="5" t="s">
        <x:v>558</x:v>
      </x:c>
      <x:c r="E58" s="5" t="str">
        <x:v>Single-choice poll rejected by backend validation</x:v>
      </x:c>
      <x:c r="F58" s="9" t="str">
        <x:v>Pass</x:v>
      </x:c>
      <x:c r="G58" s="5" t="str">
        <x:v>Runtime/code check: voting_poll() enforces len(choices) &gt;= 2</x:v>
      </x:c>
      <x:c r="H58" s="5" t="s">
        <x:v>422</x:v>
      </x:c>
    </x:row>
    <x:row r="59" ht="15" hidden="0">
      <x:c r="A59" s="6" t="s">
        <x:v>261</x:v>
      </x:c>
      <x:c r="B59" s="6" t="s">
        <x:v>510</x:v>
      </x:c>
      <x:c r="C59" s="6" t="s">
        <x:v>262</x:v>
      </x:c>
      <x:c r="D59" s="6" t="s">
        <x:v>559</x:v>
      </x:c>
      <x:c r="E59" s="6" t="s">
        <x:v>560</x:v>
      </x:c>
      <x:c r="F59" s="7" t="s">
        <x:v>420</x:v>
      </x:c>
      <x:c r="G59" s="6" t="s">
        <x:v>561</x:v>
      </x:c>
      <x:c r="H59" s="6" t="s">
        <x:v>422</x:v>
      </x:c>
    </x:row>
    <x:row r="60" ht="15" hidden="0">
      <x:c r="A60" s="5" t="s">
        <x:v>265</x:v>
      </x:c>
      <x:c r="B60" s="5" t="s">
        <x:v>510</x:v>
      </x:c>
      <x:c r="C60" s="5" t="s">
        <x:v>262</x:v>
      </x:c>
      <x:c r="D60" s="5" t="s">
        <x:v>562</x:v>
      </x:c>
      <x:c r="E60" s="5" t="str">
        <x:v>Malformed group string skipped safely; no crash</x:v>
      </x:c>
      <x:c r="F60" s="8" t="str">
        <x:v>Pass</x:v>
      </x:c>
      <x:c r="G60" s="5" t="str">
        <x:v>Runtime/code check: get_target_user() ignores entries without ':'</x:v>
      </x:c>
      <x:c r="H60" s="5" t="s">
        <x:v>422</x:v>
      </x:c>
    </x:row>
    <x:row r="61" ht="15" hidden="0">
      <x:c r="A61" s="6" t="s">
        <x:v>267</x:v>
      </x:c>
      <x:c r="B61" s="6" t="s">
        <x:v>510</x:v>
      </x:c>
      <x:c r="C61" s="6" t="s">
        <x:v>268</x:v>
      </x:c>
      <x:c r="D61" s="6" t="s">
        <x:v>563</x:v>
      </x:c>
      <x:c r="E61" s="6" t="s">
        <x:v>564</x:v>
      </x:c>
      <x:c r="F61" s="7" t="s">
        <x:v>420</x:v>
      </x:c>
      <x:c r="G61" s="6" t="s">
        <x:v>520</x:v>
      </x:c>
      <x:c r="H61" s="6" t="s">
        <x:v>422</x:v>
      </x:c>
    </x:row>
    <x:row r="62" ht="15" hidden="0">
      <x:c r="A62" s="5" t="s">
        <x:v>271</x:v>
      </x:c>
      <x:c r="B62" s="5" t="s">
        <x:v>510</x:v>
      </x:c>
      <x:c r="C62" s="5" t="s">
        <x:v>268</x:v>
      </x:c>
      <x:c r="D62" s="5" t="s">
        <x:v>565</x:v>
      </x:c>
      <x:c r="E62" s="5" t="s">
        <x:v>566</x:v>
      </x:c>
      <x:c r="F62" s="7" t="s">
        <x:v>420</x:v>
      </x:c>
      <x:c r="G62" s="5" t="s">
        <x:v>567</x:v>
      </x:c>
      <x:c r="H62" s="5" t="s">
        <x:v>422</x:v>
      </x:c>
    </x:row>
    <x:row r="63" ht="15" hidden="0">
      <x:c r="A63" s="6" t="s">
        <x:v>274</x:v>
      </x:c>
      <x:c r="B63" s="6" t="s">
        <x:v>510</x:v>
      </x:c>
      <x:c r="C63" s="6" t="s">
        <x:v>275</x:v>
      </x:c>
      <x:c r="D63" s="6" t="s">
        <x:v>568</x:v>
      </x:c>
      <x:c r="E63" s="6" t="s">
        <x:v>569</x:v>
      </x:c>
      <x:c r="F63" s="7" t="s">
        <x:v>420</x:v>
      </x:c>
      <x:c r="G63" s="6" t="s">
        <x:v>570</x:v>
      </x:c>
      <x:c r="H63" s="6" t="s">
        <x:v>422</x:v>
      </x:c>
    </x:row>
    <x:row r="64" ht="21.649999618530273" hidden="0">
      <x:c r="A64" s="5" t="s">
        <x:v>278</x:v>
      </x:c>
      <x:c r="B64" s="5" t="s">
        <x:v>510</x:v>
      </x:c>
      <x:c r="C64" s="5" t="s">
        <x:v>275</x:v>
      </x:c>
      <x:c r="D64" s="5" t="s">
        <x:v>571</x:v>
      </x:c>
      <x:c r="E64" s="5" t="str">
        <x:v>vote() uses atomic F() update for vote increments</x:v>
      </x:c>
      <x:c r="F64" s="8" t="str">
        <x:v>Pass</x:v>
      </x:c>
      <x:c r="G64" s="5" t="str">
        <x:v>Code check: Voting_choices.objects.filter(...).update(votes=F('votes') + 1)</x:v>
      </x:c>
      <x:c r="H64" s="5" t="s">
        <x:v>422</x:v>
      </x:c>
    </x:row>
    <x:row r="65" ht="15" hidden="0">
      <x:c r="A65" s="6" t="s">
        <x:v>280</x:v>
      </x:c>
      <x:c r="B65" s="6" t="s">
        <x:v>510</x:v>
      </x:c>
      <x:c r="C65" s="6" t="s">
        <x:v>281</x:v>
      </x:c>
      <x:c r="D65" s="6" t="s">
        <x:v>572</x:v>
      </x:c>
      <x:c r="E65" s="6" t="s">
        <x:v>573</x:v>
      </x:c>
      <x:c r="F65" s="7" t="s">
        <x:v>420</x:v>
      </x:c>
      <x:c r="G65" s="6" t="s">
        <x:v>574</x:v>
      </x:c>
      <x:c r="H65" s="6" t="s">
        <x:v>422</x:v>
      </x:c>
    </x:row>
    <x:row r="66" ht="15" hidden="0">
      <x:c r="A66" s="5" t="s">
        <x:v>284</x:v>
      </x:c>
      <x:c r="B66" s="5" t="s">
        <x:v>510</x:v>
      </x:c>
      <x:c r="C66" s="5" t="s">
        <x:v>281</x:v>
      </x:c>
      <x:c r="D66" s="5" t="s">
        <x:v>575</x:v>
      </x:c>
      <x:c r="E66" s="5" t="s">
        <x:v>576</x:v>
      </x:c>
      <x:c r="F66" s="7" t="s">
        <x:v>420</x:v>
      </x:c>
      <x:c r="G66" s="5" t="s">
        <x:v>577</x:v>
      </x:c>
      <x:c r="H66" s="5" t="s">
        <x:v>422</x:v>
      </x:c>
    </x:row>
    <x:row r="67" ht="15" hidden="0">
      <x:c r="A67" s="6" t="s">
        <x:v>287</x:v>
      </x:c>
      <x:c r="B67" s="6" t="s">
        <x:v>510</x:v>
      </x:c>
      <x:c r="C67" s="6" t="s">
        <x:v>288</x:v>
      </x:c>
      <x:c r="D67" s="6" t="s">
        <x:v>578</x:v>
      </x:c>
      <x:c r="E67" s="6" t="s">
        <x:v>579</x:v>
      </x:c>
      <x:c r="F67" s="7" t="s">
        <x:v>420</x:v>
      </x:c>
      <x:c r="G67" s="6" t="s">
        <x:v>580</x:v>
      </x:c>
      <x:c r="H67" s="6" t="s">
        <x:v>422</x:v>
      </x:c>
    </x:row>
    <x:row r="68" ht="15" hidden="0">
      <x:c r="A68" s="5" t="s">
        <x:v>291</x:v>
      </x:c>
      <x:c r="B68" s="5" t="s">
        <x:v>510</x:v>
      </x:c>
      <x:c r="C68" s="5" t="s">
        <x:v>288</x:v>
      </x:c>
      <x:c r="D68" s="5" t="s">
        <x:v>581</x:v>
      </x:c>
      <x:c r="E68" s="5" t="s">
        <x:v>582</x:v>
      </x:c>
      <x:c r="F68" s="7" t="s">
        <x:v>420</x:v>
      </x:c>
      <x:c r="G68" s="5" t="s">
        <x:v>583</x:v>
      </x:c>
      <x:c r="H68" s="5" t="s">
        <x:v>422</x:v>
      </x:c>
    </x:row>
    <x:row r="69" ht="15" hidden="0">
      <x:c r="A69" s="6" t="s">
        <x:v>294</x:v>
      </x:c>
      <x:c r="B69" s="6" t="s">
        <x:v>510</x:v>
      </x:c>
      <x:c r="C69" s="6" t="s">
        <x:v>295</x:v>
      </x:c>
      <x:c r="D69" s="6" t="s">
        <x:v>584</x:v>
      </x:c>
      <x:c r="E69" s="6" t="s">
        <x:v>585</x:v>
      </x:c>
      <x:c r="F69" s="7" t="s">
        <x:v>420</x:v>
      </x:c>
      <x:c r="G69" s="6" t="s">
        <x:v>520</x:v>
      </x:c>
      <x:c r="H69" s="6" t="s">
        <x:v>422</x:v>
      </x:c>
    </x:row>
    <x:row r="70" ht="15" hidden="0">
      <x:c r="A70" s="5" t="s">
        <x:v>298</x:v>
      </x:c>
      <x:c r="B70" s="5" t="s">
        <x:v>510</x:v>
      </x:c>
      <x:c r="C70" s="5" t="s">
        <x:v>295</x:v>
      </x:c>
      <x:c r="D70" s="5" t="s">
        <x:v>586</x:v>
      </x:c>
      <x:c r="E70" s="5" t="s">
        <x:v>486</x:v>
      </x:c>
      <x:c r="F70" s="7" t="s">
        <x:v>420</x:v>
      </x:c>
      <x:c r="G70" s="5" t="s">
        <x:v>520</x:v>
      </x:c>
      <x:c r="H70" s="5" t="s">
        <x:v>422</x:v>
      </x:c>
    </x:row>
    <x:row r="71" ht="21.649999618530273" hidden="0">
      <x:c r="A71" s="6" t="s">
        <x:v>300</x:v>
      </x:c>
      <x:c r="B71" s="6" t="s">
        <x:v>510</x:v>
      </x:c>
      <x:c r="C71" s="6" t="s">
        <x:v>295</x:v>
      </x:c>
      <x:c r="D71" s="6" t="s">
        <x:v>587</x:v>
      </x:c>
      <x:c r="E71" s="6" t="str">
        <x:v>Negative budget still saved through legacy club_budget save path</x:v>
      </x:c>
      <x:c r="F71" s="9" t="str">
        <x:v>Fail</x:v>
      </x:c>
      <x:c r="G71" s="6" t="str">
        <x:v>Rollback runtime check: Club_budget saved with budget_amt=-500 via legacy path</x:v>
      </x:c>
      <x:c r="H71" s="6" t="s">
        <x:v>422</x:v>
      </x:c>
    </x:row>
    <x:row r="72" ht="15" hidden="0">
      <x:c r="A72" s="5" t="s">
        <x:v>303</x:v>
      </x:c>
      <x:c r="B72" s="5" t="s">
        <x:v>510</x:v>
      </x:c>
      <x:c r="C72" s="5" t="s">
        <x:v>304</x:v>
      </x:c>
      <x:c r="D72" s="5" t="s">
        <x:v>588</x:v>
      </x:c>
      <x:c r="E72" s="5" t="s">
        <x:v>589</x:v>
      </x:c>
      <x:c r="F72" s="7" t="s">
        <x:v>420</x:v>
      </x:c>
      <x:c r="G72" s="5" t="s">
        <x:v>590</x:v>
      </x:c>
      <x:c r="H72" s="5" t="s">
        <x:v>422</x:v>
      </x:c>
    </x:row>
    <x:row r="73" ht="15" hidden="0">
      <x:c r="A73" s="6" t="s">
        <x:v>307</x:v>
      </x:c>
      <x:c r="B73" s="6" t="s">
        <x:v>510</x:v>
      </x:c>
      <x:c r="C73" s="6" t="s">
        <x:v>304</x:v>
      </x:c>
      <x:c r="D73" s="6" t="s">
        <x:v>591</x:v>
      </x:c>
      <x:c r="E73" s="6" t="s">
        <x:v>592</x:v>
      </x:c>
      <x:c r="F73" s="8" t="s">
        <x:v>490</x:v>
      </x:c>
      <x:c r="G73" s="6" t="s">
        <x:v>593</x:v>
      </x:c>
      <x:c r="H73" s="6" t="s">
        <x:v>422</x:v>
      </x:c>
    </x:row>
    <x:row r="74" ht="15" hidden="0">
      <x:c r="A74" s="5" t="s">
        <x:v>310</x:v>
      </x:c>
      <x:c r="B74" s="5" t="s">
        <x:v>510</x:v>
      </x:c>
      <x:c r="C74" s="5" t="s">
        <x:v>311</x:v>
      </x:c>
      <x:c r="D74" s="5" t="s">
        <x:v>594</x:v>
      </x:c>
      <x:c r="E74" s="5" t="s">
        <x:v>595</x:v>
      </x:c>
      <x:c r="F74" s="7" t="s">
        <x:v>420</x:v>
      </x:c>
      <x:c r="G74" s="5" t="s">
        <x:v>539</x:v>
      </x:c>
      <x:c r="H74" s="5" t="s">
        <x:v>422</x:v>
      </x:c>
    </x:row>
    <x:row r="75" ht="15" hidden="0">
      <x:c r="A75" s="6" t="s">
        <x:v>314</x:v>
      </x:c>
      <x:c r="B75" s="6" t="s">
        <x:v>510</x:v>
      </x:c>
      <x:c r="C75" s="6" t="s">
        <x:v>311</x:v>
      </x:c>
      <x:c r="D75" s="6" t="s">
        <x:v>591</x:v>
      </x:c>
      <x:c r="E75" s="6" t="s">
        <x:v>592</x:v>
      </x:c>
      <x:c r="F75" s="8" t="s">
        <x:v>490</x:v>
      </x:c>
      <x:c r="G75" s="6" t="s">
        <x:v>593</x:v>
      </x:c>
      <x:c r="H75" s="6" t="s">
        <x:v>422</x:v>
      </x:c>
    </x:row>
    <x:row r="76" ht="15" hidden="0">
      <x:c r="A76" s="5" t="s">
        <x:v>317</x:v>
      </x:c>
      <x:c r="B76" s="5" t="s">
        <x:v>510</x:v>
      </x:c>
      <x:c r="C76" s="5" t="s">
        <x:v>318</x:v>
      </x:c>
      <x:c r="D76" s="5" t="s">
        <x:v>596</x:v>
      </x:c>
      <x:c r="E76" s="5" t="s">
        <x:v>597</x:v>
      </x:c>
      <x:c r="F76" s="7" t="s">
        <x:v>420</x:v>
      </x:c>
      <x:c r="G76" s="5" t="s">
        <x:v>598</x:v>
      </x:c>
      <x:c r="H76" s="5" t="s">
        <x:v>422</x:v>
      </x:c>
    </x:row>
    <x:row r="77" ht="21.649999618530273" hidden="0">
      <x:c r="A77" s="6" t="s">
        <x:v>321</x:v>
      </x:c>
      <x:c r="B77" s="6" t="s">
        <x:v>510</x:v>
      </x:c>
      <x:c r="C77" s="6" t="s">
        <x:v>318</x:v>
      </x:c>
      <x:c r="D77" s="6" t="s">
        <x:v>599</x:v>
      </x:c>
      <x:c r="E77" s="6" t="str">
        <x:v>Missing time is blocked before Club_report creation</x:v>
      </x:c>
      <x:c r="F77" s="9" t="str">
        <x:v>Pass</x:v>
      </x:c>
      <x:c r="G77" s="6" t="str">
        <x:v>Runtime/code check: club_report() now requires both date and time before concatenation</x:v>
      </x:c>
      <x:c r="H77" s="6" t="s">
        <x:v>422</x:v>
      </x:c>
    </x:row>
    <x:row r="78" ht="15" hidden="0">
      <x:c r="A78" s="5" t="s">
        <x:v>323</x:v>
      </x:c>
      <x:c r="B78" s="5" t="s">
        <x:v>510</x:v>
      </x:c>
      <x:c r="C78" s="5" t="s">
        <x:v>324</x:v>
      </x:c>
      <x:c r="D78" s="5" t="s">
        <x:v>600</x:v>
      </x:c>
      <x:c r="E78" s="5" t="s">
        <x:v>601</x:v>
      </x:c>
      <x:c r="F78" s="7" t="s">
        <x:v>420</x:v>
      </x:c>
      <x:c r="G78" s="5" t="s">
        <x:v>602</x:v>
      </x:c>
      <x:c r="H78" s="5" t="s">
        <x:v>422</x:v>
      </x:c>
    </x:row>
    <x:row r="79" ht="21.649999618530273" hidden="0">
      <x:c r="A79" s="6" t="s">
        <x:v>327</x:v>
      </x:c>
      <x:c r="B79" s="6" t="s">
        <x:v>510</x:v>
      </x:c>
      <x:c r="C79" s="6" t="s">
        <x:v>324</x:v>
      </x:c>
      <x:c r="D79" s="6" t="s">
        <x:v>603</x:v>
      </x:c>
      <x:c r="E79" s="6" t="s">
        <x:v>336</x:v>
      </x:c>
      <x:c r="F79" s="8" t="s">
        <x:v>490</x:v>
      </x:c>
      <x:c r="G79" s="6" t="s">
        <x:v>604</x:v>
      </x:c>
      <x:c r="H79" s="6" t="s">
        <x:v>422</x:v>
      </x:c>
    </x:row>
    <x:row r="80" ht="15" hidden="0">
      <x:c r="A80" s="5" t="s">
        <x:v>330</x:v>
      </x:c>
      <x:c r="B80" s="5" t="s">
        <x:v>510</x:v>
      </x:c>
      <x:c r="C80" s="5" t="s">
        <x:v>331</x:v>
      </x:c>
      <x:c r="D80" s="5" t="s">
        <x:v>605</x:v>
      </x:c>
      <x:c r="E80" s="5" t="s">
        <x:v>601</x:v>
      </x:c>
      <x:c r="F80" s="7" t="s">
        <x:v>420</x:v>
      </x:c>
      <x:c r="G80" s="5" t="s">
        <x:v>606</x:v>
      </x:c>
      <x:c r="H80" s="5" t="s">
        <x:v>422</x:v>
      </x:c>
    </x:row>
    <x:row r="81" ht="15" hidden="0">
      <x:c r="A81" s="6" t="s">
        <x:v>334</x:v>
      </x:c>
      <x:c r="B81" s="6" t="s">
        <x:v>510</x:v>
      </x:c>
      <x:c r="C81" s="6" t="s">
        <x:v>331</x:v>
      </x:c>
      <x:c r="D81" s="6" t="s">
        <x:v>607</x:v>
      </x:c>
      <x:c r="E81" s="6" t="s">
        <x:v>336</x:v>
      </x:c>
      <x:c r="F81" s="8" t="s">
        <x:v>490</x:v>
      </x:c>
      <x:c r="G81" s="6" t="s">
        <x:v>608</x:v>
      </x:c>
      <x:c r="H81" s="6" t="s">
        <x:v>422</x:v>
      </x:c>
    </x:row>
    <x:row r="82" ht="15" hidden="0">
      <x:c r="A82" s="5" t="s">
        <x:v>337</x:v>
      </x:c>
      <x:c r="B82" s="5" t="s">
        <x:v>510</x:v>
      </x:c>
      <x:c r="C82" s="5" t="s">
        <x:v>338</x:v>
      </x:c>
      <x:c r="D82" s="5" t="s">
        <x:v>609</x:v>
      </x:c>
      <x:c r="E82" s="5" t="s">
        <x:v>610</x:v>
      </x:c>
      <x:c r="F82" s="7" t="s">
        <x:v>420</x:v>
      </x:c>
      <x:c r="G82" s="5" t="s">
        <x:v>611</x:v>
      </x:c>
      <x:c r="H82" s="5" t="s">
        <x:v>422</x:v>
      </x:c>
    </x:row>
    <x:row r="83" ht="15" hidden="0">
      <x:c r="A83" s="6" t="s">
        <x:v>341</x:v>
      </x:c>
      <x:c r="B83" s="6" t="s">
        <x:v>510</x:v>
      </x:c>
      <x:c r="C83" s="6" t="s">
        <x:v>338</x:v>
      </x:c>
      <x:c r="D83" s="6" t="s">
        <x:v>612</x:v>
      </x:c>
      <x:c r="E83" s="6" t="s">
        <x:v>613</x:v>
      </x:c>
      <x:c r="F83" s="7" t="s">
        <x:v>420</x:v>
      </x:c>
      <x:c r="G83" s="6" t="s">
        <x:v>614</x:v>
      </x:c>
      <x:c r="H83" s="6" t="s">
        <x:v>422</x:v>
      </x:c>
    </x:row>
    <x:row r="84" ht="15" hidden="0">
      <x:c r="A84" s="5" t="s">
        <x:v>344</x:v>
      </x:c>
      <x:c r="B84" s="5" t="s">
        <x:v>510</x:v>
      </x:c>
      <x:c r="C84" s="5" t="s">
        <x:v>345</x:v>
      </x:c>
      <x:c r="D84" s="5" t="s">
        <x:v>615</x:v>
      </x:c>
      <x:c r="E84" s="5" t="s">
        <x:v>616</x:v>
      </x:c>
      <x:c r="F84" s="7" t="s">
        <x:v>420</x:v>
      </x:c>
      <x:c r="G84" s="5" t="s">
        <x:v>617</x:v>
      </x:c>
      <x:c r="H84" s="5" t="s">
        <x:v>422</x:v>
      </x:c>
    </x:row>
    <x:row r="85" ht="15" hidden="0">
      <x:c r="A85" s="6" t="s">
        <x:v>348</x:v>
      </x:c>
      <x:c r="B85" s="6" t="s">
        <x:v>510</x:v>
      </x:c>
      <x:c r="C85" s="6" t="s">
        <x:v>345</x:v>
      </x:c>
      <x:c r="D85" s="6" t="s">
        <x:v>618</x:v>
      </x:c>
      <x:c r="E85" s="6" t="s">
        <x:v>619</x:v>
      </x:c>
      <x:c r="F85" s="7" t="s">
        <x:v>420</x:v>
      </x:c>
      <x:c r="G85" s="6" t="s">
        <x:v>620</x:v>
      </x:c>
      <x:c r="H85" s="6" t="s">
        <x:v>422</x:v>
      </x:c>
    </x:row>
    <x:row r="86" ht="15" hidden="0">
      <x:c r="A86" s="5" t="s">
        <x:v>353</x:v>
      </x:c>
      <x:c r="B86" s="5" t="s">
        <x:v>621</x:v>
      </x:c>
      <x:c r="C86" s="5" t="s">
        <x:v>354</x:v>
      </x:c>
      <x:c r="D86" s="5" t="s">
        <x:v>622</x:v>
      </x:c>
      <x:c r="E86" s="5" t="s">
        <x:v>623</x:v>
      </x:c>
      <x:c r="F86" s="7" t="s">
        <x:v>420</x:v>
      </x:c>
      <x:c r="G86" s="5" t="s">
        <x:v>624</x:v>
      </x:c>
      <x:c r="H86" s="5" t="s">
        <x:v>422</x:v>
      </x:c>
    </x:row>
    <x:row r="87" ht="15" hidden="0">
      <x:c r="A87" s="6" t="s">
        <x:v>358</x:v>
      </x:c>
      <x:c r="B87" s="6" t="s">
        <x:v>621</x:v>
      </x:c>
      <x:c r="C87" s="6" t="s">
        <x:v>354</x:v>
      </x:c>
      <x:c r="D87" s="6" t="s">
        <x:v>625</x:v>
      </x:c>
      <x:c r="E87" s="6" t="s">
        <x:v>626</x:v>
      </x:c>
      <x:c r="F87" s="7" t="s">
        <x:v>420</x:v>
      </x:c>
      <x:c r="G87" s="6" t="s">
        <x:v>627</x:v>
      </x:c>
      <x:c r="H87" s="6" t="s">
        <x:v>422</x:v>
      </x:c>
    </x:row>
    <x:row r="88" ht="15" hidden="0">
      <x:c r="A88" s="5" t="s">
        <x:v>362</x:v>
      </x:c>
      <x:c r="B88" s="5" t="s">
        <x:v>621</x:v>
      </x:c>
      <x:c r="C88" s="5" t="s">
        <x:v>354</x:v>
      </x:c>
      <x:c r="D88" s="5" t="s">
        <x:v>628</x:v>
      </x:c>
      <x:c r="E88" s="5" t="s">
        <x:v>626</x:v>
      </x:c>
      <x:c r="F88" s="7" t="s">
        <x:v>420</x:v>
      </x:c>
      <x:c r="G88" s="5" t="s">
        <x:v>629</x:v>
      </x:c>
      <x:c r="H88" s="5" t="s">
        <x:v>422</x:v>
      </x:c>
    </x:row>
    <x:row r="89" ht="15" hidden="0">
      <x:c r="A89" s="6" t="s">
        <x:v>365</x:v>
      </x:c>
      <x:c r="B89" s="6" t="s">
        <x:v>621</x:v>
      </x:c>
      <x:c r="C89" s="6" t="s">
        <x:v>366</x:v>
      </x:c>
      <x:c r="D89" s="6" t="s">
        <x:v>630</x:v>
      </x:c>
      <x:c r="E89" s="6" t="s">
        <x:v>519</x:v>
      </x:c>
      <x:c r="F89" s="7" t="s">
        <x:v>420</x:v>
      </x:c>
      <x:c r="G89" s="6" t="s">
        <x:v>631</x:v>
      </x:c>
      <x:c r="H89" s="6" t="s">
        <x:v>422</x:v>
      </x:c>
    </x:row>
    <x:row r="90" ht="15" hidden="0">
      <x:c r="A90" s="5" t="s">
        <x:v>369</x:v>
      </x:c>
      <x:c r="B90" s="5" t="s">
        <x:v>621</x:v>
      </x:c>
      <x:c r="C90" s="5" t="s">
        <x:v>366</x:v>
      </x:c>
      <x:c r="D90" s="5" t="s">
        <x:v>632</x:v>
      </x:c>
      <x:c r="E90" s="5" t="s">
        <x:v>633</x:v>
      </x:c>
      <x:c r="F90" s="7" t="s">
        <x:v>420</x:v>
      </x:c>
      <x:c r="G90" s="5" t="s">
        <x:v>634</x:v>
      </x:c>
      <x:c r="H90" s="5" t="s">
        <x:v>422</x:v>
      </x:c>
    </x:row>
    <x:row r="91" ht="21.649999618530273" hidden="0">
      <x:c r="A91" s="6" t="s">
        <x:v>372</x:v>
      </x:c>
      <x:c r="B91" s="6" t="s">
        <x:v>621</x:v>
      </x:c>
      <x:c r="C91" s="6" t="s">
        <x:v>366</x:v>
      </x:c>
      <x:c r="D91" s="6" t="s">
        <x:v>635</x:v>
      </x:c>
      <x:c r="E91" s="6" t="str">
        <x:v>Reversed times rejected by conflict_algorithm_session</x:v>
      </x:c>
      <x:c r="F91" s="9" t="str">
        <x:v>Pass</x:v>
      </x:c>
      <x:c r="G91" s="6" t="str">
        <x:v>Runtime/code check: conflict_algorithm_session returns error for start_time &gt;= end_time</x:v>
      </x:c>
      <x:c r="H91" s="6" t="s">
        <x:v>422</x:v>
      </x:c>
    </x:row>
    <x:row r="92" ht="15" hidden="0">
      <x:c r="A92" s="5" t="s">
        <x:v>375</x:v>
      </x:c>
      <x:c r="B92" s="5" t="s">
        <x:v>621</x:v>
      </x:c>
      <x:c r="C92" s="5" t="s">
        <x:v>376</x:v>
      </x:c>
      <x:c r="D92" s="5" t="s">
        <x:v>636</x:v>
      </x:c>
      <x:c r="E92" s="5" t="s">
        <x:v>637</x:v>
      </x:c>
      <x:c r="F92" s="7" t="s">
        <x:v>420</x:v>
      </x:c>
      <x:c r="G92" s="5" t="s">
        <x:v>539</x:v>
      </x:c>
      <x:c r="H92" s="5" t="s">
        <x:v>422</x:v>
      </x:c>
    </x:row>
    <x:row r="93" ht="21.649999618530273" hidden="0">
      <x:c r="A93" s="6" t="s">
        <x:v>379</x:v>
      </x:c>
      <x:c r="B93" s="6" t="s">
        <x:v>621</x:v>
      </x:c>
      <x:c r="C93" s="6" t="s">
        <x:v>376</x:v>
      </x:c>
      <x:c r="D93" s="6" t="s">
        <x:v>638</x:v>
      </x:c>
      <x:c r="E93" s="6" t="s">
        <x:v>639</x:v>
      </x:c>
      <x:c r="F93" s="8" t="s">
        <x:v>490</x:v>
      </x:c>
      <x:c r="G93" s="6" t="s">
        <x:v>640</x:v>
      </x:c>
      <x:c r="H93" s="6" t="s">
        <x:v>422</x:v>
      </x:c>
    </x:row>
    <x:row r="94" ht="15" hidden="0">
      <x:c r="A94" s="5" t="s">
        <x:v>382</x:v>
      </x:c>
      <x:c r="B94" s="5" t="s">
        <x:v>621</x:v>
      </x:c>
      <x:c r="C94" s="5" t="s">
        <x:v>383</x:v>
      </x:c>
      <x:c r="D94" s="5" t="s">
        <x:v>641</x:v>
      </x:c>
      <x:c r="E94" s="5" t="s">
        <x:v>642</x:v>
      </x:c>
      <x:c r="F94" s="7" t="s">
        <x:v>420</x:v>
      </x:c>
      <x:c r="G94" s="5" t="s">
        <x:v>643</x:v>
      </x:c>
      <x:c r="H94" s="5" t="s">
        <x:v>422</x:v>
      </x:c>
    </x:row>
    <x:row r="95" ht="21.649999618530273" hidden="0">
      <x:c r="A95" s="6" t="s">
        <x:v>386</x:v>
      </x:c>
      <x:c r="B95" s="6" t="s">
        <x:v>621</x:v>
      </x:c>
      <x:c r="C95" s="6" t="s">
        <x:v>383</x:v>
      </x:c>
      <x:c r="D95" s="6" t="s">
        <x:v>644</x:v>
      </x:c>
      <x:c r="E95" s="6" t="str">
        <x:v>approve() now runs inside transaction.atomic</x:v>
      </x:c>
      <x:c r="F95" s="8" t="str">
        <x:v>Pass</x:v>
      </x:c>
      <x:c r="G95" s="6" t="str">
        <x:v>Code check: @transaction.atomic decorator present on approve()</x:v>
      </x:c>
      <x:c r="H95" s="6" t="s">
        <x:v>422</x:v>
      </x:c>
    </x:row>
    <x:row r="96" ht="15" hidden="0">
      <x:c r="A96" s="5" t="s">
        <x:v>388</x:v>
      </x:c>
      <x:c r="B96" s="5" t="s">
        <x:v>621</x:v>
      </x:c>
      <x:c r="C96" s="5" t="s">
        <x:v>389</x:v>
      </x:c>
      <x:c r="D96" s="5" t="s">
        <x:v>645</x:v>
      </x:c>
      <x:c r="E96" s="5" t="s">
        <x:v>646</x:v>
      </x:c>
      <x:c r="F96" s="7" t="s">
        <x:v>420</x:v>
      </x:c>
      <x:c r="G96" s="5" t="s">
        <x:v>647</x:v>
      </x:c>
      <x:c r="H96" s="5" t="s">
        <x:v>422</x:v>
      </x:c>
    </x:row>
    <x:row r="97" ht="21.649999618530273" hidden="0">
      <x:c r="A97" s="6" t="s">
        <x:v>392</x:v>
      </x:c>
      <x:c r="B97" s="6" t="s">
        <x:v>621</x:v>
      </x:c>
      <x:c r="C97" s="6" t="s">
        <x:v>389</x:v>
      </x:c>
      <x:c r="D97" s="6" t="s">
        <x:v>648</x:v>
      </x:c>
      <x:c r="E97" s="6" t="str">
        <x:v>Malformed group strings are skipped safely during poll creation</x:v>
      </x:c>
      <x:c r="F97" s="9" t="str">
        <x:v>Pass</x:v>
      </x:c>
      <x:c r="G97" s="6" t="str">
        <x:v>Runtime/code check: malformed entries no longer break get_target_user()/voting_poll()</x:v>
      </x:c>
      <x:c r="H97" s="6" t="s">
        <x:v>422</x:v>
      </x:c>
    </x:row>
    <x:row r="98" ht="15" hidden="0">
      <x:c r="A98" s="5" t="s">
        <x:v>394</x:v>
      </x:c>
      <x:c r="B98" s="5" t="s">
        <x:v>621</x:v>
      </x:c>
      <x:c r="C98" s="5" t="s">
        <x:v>395</x:v>
      </x:c>
      <x:c r="D98" s="5" t="s">
        <x:v>649</x:v>
      </x:c>
      <x:c r="E98" s="5" t="s">
        <x:v>650</x:v>
      </x:c>
      <x:c r="F98" s="7" t="s">
        <x:v>420</x:v>
      </x:c>
      <x:c r="G98" s="5" t="s">
        <x:v>624</x:v>
      </x:c>
      <x:c r="H98" s="5" t="s">
        <x:v>422</x:v>
      </x:c>
    </x:row>
    <x:row r="99" ht="15" hidden="0">
      <x:c r="A99" s="6" t="s">
        <x:v>398</x:v>
      </x:c>
      <x:c r="B99" s="6" t="s">
        <x:v>621</x:v>
      </x:c>
      <x:c r="C99" s="6" t="s">
        <x:v>395</x:v>
      </x:c>
      <x:c r="D99" s="6" t="s">
        <x:v>651</x:v>
      </x:c>
      <x:c r="E99" s="6" t="s">
        <x:v>652</x:v>
      </x:c>
      <x:c r="F99" s="7" t="s">
        <x:v>420</x:v>
      </x:c>
      <x:c r="G99" s="6" t="s">
        <x:v>653</x:v>
      </x:c>
      <x:c r="H99" s="6" t="s">
        <x:v>422</x:v>
      </x:c>
    </x:row>
    <x:row r="100" ht="15" hidden="0">
      <x:c r="A100" s="5" t="s">
        <x:v>401</x:v>
      </x:c>
      <x:c r="B100" s="5" t="s">
        <x:v>621</x:v>
      </x:c>
      <x:c r="C100" s="5" t="s">
        <x:v>402</x:v>
      </x:c>
      <x:c r="D100" s="5" t="s">
        <x:v>654</x:v>
      </x:c>
      <x:c r="E100" s="5" t="s">
        <x:v>655</x:v>
      </x:c>
      <x:c r="F100" s="7" t="s">
        <x:v>420</x:v>
      </x:c>
      <x:c r="G100" s="5" t="s">
        <x:v>656</x:v>
      </x:c>
      <x:c r="H100" s="5" t="s">
        <x:v>422</x:v>
      </x:c>
    </x:row>
    <x:row r="101" ht="15" hidden="0">
      <x:c r="A101" s="6" t="s">
        <x:v>405</x:v>
      </x:c>
      <x:c r="B101" s="6" t="s">
        <x:v>621</x:v>
      </x:c>
      <x:c r="C101" s="6" t="s">
        <x:v>402</x:v>
      </x:c>
      <x:c r="D101" s="6" t="s">
        <x:v>657</x:v>
      </x:c>
      <x:c r="E101" s="6" t="s">
        <x:v>658</x:v>
      </x:c>
      <x:c r="F101" s="7" t="s">
        <x:v>420</x:v>
      </x:c>
      <x:c r="G101" s="6" t="s">
        <x:v>629</x:v>
      </x:c>
      <x:c r="H101" s="6" t="s">
        <x:v>422</x:v>
      </x:c>
    </x:row>
    <x:row r="102" ht="15" hidden="0">
      <x:c r="A102" s="5" t="s">
        <x:v>408</x:v>
      </x:c>
      <x:c r="B102" s="5" t="s">
        <x:v>621</x:v>
      </x:c>
      <x:c r="C102" s="5" t="s">
        <x:v>402</x:v>
      </x:c>
      <x:c r="D102" s="5" t="s">
        <x:v>659</x:v>
      </x:c>
      <x:c r="E102" s="5" t="s">
        <x:v>660</x:v>
      </x:c>
      <x:c r="F102" s="7" t="s">
        <x:v>420</x:v>
      </x:c>
      <x:c r="G102" s="5" t="s">
        <x:v>661</x:v>
      </x:c>
      <x:c r="H102" s="5" t="s">
        <x:v>422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10" hidden="0" customWidth="1"/>
    <x:col min="2" max="2" width="22" hidden="0" customWidth="1"/>
    <x:col min="3" max="3" width="18" hidden="0" customWidth="1"/>
    <x:col min="4" max="4" width="10" hidden="0" customWidth="1"/>
    <x:col min="5" max="5" width="55" hidden="0" customWidth="1"/>
    <x:col min="6" max="6" width="45" hidden="0" customWidth="1"/>
  </x:cols>
  <x:sheetData>
    <x:row r="1" ht="15" hidden="0">
      <x:c r="A1" s="2" t="s">
        <x:v>662</x:v>
      </x:c>
      <x:c r="B1" s="2" t="s">
        <x:v>663</x:v>
      </x:c>
      <x:c r="C1" s="2" t="s">
        <x:v>664</x:v>
      </x:c>
      <x:c r="D1" s="2" t="s">
        <x:v>665</x:v>
      </x:c>
      <x:c r="E1" s="2" t="s">
        <x:v>666</x:v>
      </x:c>
      <x:c r="F1" s="2" t="s">
        <x:v>667</x:v>
      </x:c>
    </x:row>
    <x:row r="2" ht="21.649999618530273" hidden="0">
      <x:c r="A2" s="5" t="s">
        <x:v>668</x:v>
      </x:c>
      <x:c r="B2" s="5" t="s">
        <x:v>669</x:v>
      </x:c>
      <x:c r="C2" s="5" t="s">
        <x:v>670</x:v>
      </x:c>
      <x:c r="D2" s="10" t="str">
        <x:v>Resolved</x:v>
      </x:c>
      <x:c r="E2" s="5" t="str">
        <x:v>Resolved in current backend: approve() now checks coordinator_club(request) and returns 403 for non-coordinators.</x:v>
      </x:c>
      <x:c r="F2" s="5" t="str">
        <x:v>No workbook action needed beyond keeping auth tests in regression coverage.</x:v>
      </x:c>
    </x:row>
    <x:row r="3" ht="21.649999618530273" hidden="0">
      <x:c r="A3" s="6" t="s">
        <x:v>671</x:v>
      </x:c>
      <x:c r="B3" s="6" t="s">
        <x:v>672</x:v>
      </x:c>
      <x:c r="C3" s="6" t="s">
        <x:v>673</x:v>
      </x:c>
      <x:c r="D3" s="11" t="str">
        <x:v>Resolved</x:v>
      </x:c>
      <x:c r="E3" s="6" t="str">
        <x:v>Resolved in current backend: voting_poll() now rejects polls with fewer than 2 choices.</x:v>
      </x:c>
      <x:c r="F3" s="6" t="str">
        <x:v>No workbook action needed beyond keeping the single-choice negative test.</x:v>
      </x:c>
    </x:row>
    <x:row r="4" ht="21.649999618530273" hidden="0">
      <x:c r="A4" s="5" t="s">
        <x:v>674</x:v>
      </x:c>
      <x:c r="B4" s="5" t="s">
        <x:v>121</x:v>
      </x:c>
      <x:c r="C4" s="5" t="s">
        <x:v>113</x:v>
      </x:c>
      <x:c r="D4" s="11" t="str">
        <x:v>Resolved</x:v>
      </x:c>
      <x:c r="E4" s="5" t="str">
        <x:v>Resolved in current backend: voting_poll() now requires the requester to be a club coordinator.</x:v>
      </x:c>
      <x:c r="F4" s="5" t="str">
        <x:v>No workbook action needed beyond keeping the authorization regression test.</x:v>
      </x:c>
    </x:row>
    <x:row r="5" ht="21.649999618530273" hidden="0">
      <x:c r="A5" s="6" t="s">
        <x:v>675</x:v>
      </x:c>
      <x:c r="B5" s="6" t="s">
        <x:v>150</x:v>
      </x:c>
      <x:c r="C5" s="6" t="s">
        <x:v>140</x:v>
      </x:c>
      <x:c r="D5" s="11" t="str">
        <x:v>Resolved</x:v>
      </x:c>
      <x:c r="E5" s="6" t="str">
        <x:v>Resolved in current backend: change_head() now rejects non-coordinators with an explicit 403 error.</x:v>
      </x:c>
      <x:c r="F5" s="6" t="str">
        <x:v>No workbook action needed beyond keeping the authorization regression test.</x:v>
      </x:c>
    </x:row>
    <x:row r="6" ht="21.649999618530273" hidden="0">
      <x:c r="A6" s="5" t="s">
        <x:v>676</x:v>
      </x:c>
      <x:c r="B6" s="5" t="s">
        <x:v>677</x:v>
      </x:c>
      <x:c r="C6" s="5" t="s">
        <x:v>678</x:v>
      </x:c>
      <x:c r="D6" s="11" t="str">
        <x:v>Resolved</x:v>
      </x:c>
      <x:c r="E6" s="5" t="str">
        <x:v>Resolved in current backend: session/event conflict algorithms reject start_time &gt;= end_time.</x:v>
      </x:c>
      <x:c r="F6" s="5" t="str">
        <x:v>No workbook action needed beyond keeping reversed/equal-time negative tests.</x:v>
      </x:c>
    </x:row>
    <x:row r="7" ht="21.649999618530273" hidden="0">
      <x:c r="A7" s="6" t="s">
        <x:v>679</x:v>
      </x:c>
      <x:c r="B7" s="6" t="s">
        <x:v>183</x:v>
      </x:c>
      <x:c r="C7" s="6" t="s">
        <x:v>125</x:v>
      </x:c>
      <x:c r="D7" s="11" t="str">
        <x:v>Resolved</x:v>
      </x:c>
      <x:c r="E7" s="6" t="str">
        <x:v>Resolved in current backend: vote() now verifies the student's batch/branch is eligible for the poll.</x:v>
      </x:c>
      <x:c r="F7" s="6" t="str">
        <x:v>No workbook action needed beyond keeping out-of-group voting tests.</x:v>
      </x:c>
    </x:row>
    <x:row r="8" ht="21.649999618530273" hidden="0">
      <x:c r="A8" s="5" t="s">
        <x:v>680</x:v>
      </x:c>
      <x:c r="B8" s="5" t="s">
        <x:v>300</x:v>
      </x:c>
      <x:c r="C8" s="5" t="s">
        <x:v>295</x:v>
      </x:c>
      <x:c r="D8" s="8" t="str">
        <x:v>Medium</x:v>
      </x:c>
      <x:c r="E8" s="5" t="str">
        <x:v>Still open on legacy save paths: negative budget amounts can still persist because legacy club_budget()/fest_budget() save models directly without full_clean().</x:v>
      </x:c>
      <x:c r="F8" s="5" t="str">
        <x:v>Validate amount &gt;= 0 in the legacy views/serializers or call full_clean() before save.</x:v>
      </x:c>
    </x:row>
    <x:row r="9" ht="21.649999618530273" hidden="0">
      <x:c r="A9" s="6" t="s">
        <x:v>681</x:v>
      </x:c>
      <x:c r="B9" s="6" t="s">
        <x:v>321</x:v>
      </x:c>
      <x:c r="C9" s="6" t="s">
        <x:v>318</x:v>
      </x:c>
      <x:c r="D9" s="8" t="str">
        <x:v>Resolved</x:v>
      </x:c>
      <x:c r="E9" s="6" t="str">
        <x:v>Resolved in current backend: club_report() now checks that both date and time are present before concatenation.</x:v>
      </x:c>
      <x:c r="F9" s="6" t="str">
        <x:v>No workbook action needed beyond keeping the missing-time negative test.</x:v>
      </x:c>
    </x:row>
    <x:row r="10" ht="31.899999618530273" hidden="0">
      <x:c r="A10" s="5" t="s">
        <x:v>682</x:v>
      </x:c>
      <x:c r="B10" s="5" t="s">
        <x:v>683</x:v>
      </x:c>
      <x:c r="C10" s="5" t="s">
        <x:v>275</x:v>
      </x:c>
      <x:c r="D10" s="8" t="str">
        <x:v>Resolved</x:v>
      </x:c>
      <x:c r="E10" s="5" t="str">
        <x:v>Resolved in current backend: vote() now uses an atomic F() expression to increment votes.</x:v>
      </x:c>
      <x:c r="F10" s="5" t="str">
        <x:v>No workbook action needed beyond retaining concurrency-oriented regression coverage.</x:v>
      </x:c>
    </x:row>
    <x:row r="11" ht="21.649999618530273" hidden="0">
      <x:c r="A11" s="6" t="s">
        <x:v>684</x:v>
      </x:c>
      <x:c r="B11" s="6" t="s">
        <x:v>392</x:v>
      </x:c>
      <x:c r="C11" s="6" t="s">
        <x:v>389</x:v>
      </x:c>
      <x:c r="D11" s="8" t="str">
        <x:v>Resolved</x:v>
      </x:c>
      <x:c r="E11" s="6" t="str">
        <x:v>Resolved in current backend: get_target_user() safely skips malformed group strings instead of failing.</x:v>
      </x:c>
      <x:c r="F11" s="6" t="str">
        <x:v>No workbook action needed beyond keeping malformed-group regression tests.</x:v>
      </x:c>
    </x:row>
    <x:row r="12" ht="21.649999618530273" hidden="0">
      <x:c r="A12" s="5" t="s">
        <x:v>685</x:v>
      </x:c>
      <x:c r="B12" s="5" t="s">
        <x:v>386</x:v>
      </x:c>
      <x:c r="C12" s="5" t="s">
        <x:v>383</x:v>
      </x:c>
      <x:c r="D12" s="7" t="str">
        <x:v>Resolved</x:v>
      </x:c>
      <x:c r="E12" s="5" t="str">
        <x:v>Resolved in current backend: approve() is wrapped in @transaction.atomic.</x:v>
      </x:c>
      <x:c r="F12" s="5" t="str">
        <x:v>No workbook action needed beyond keeping rollback-oriented regression tests.</x:v>
      </x:c>
    </x:row>
    <x:row r="13" ht="31.899999618530273" hidden="0">
      <x:c r="A13" s="6" t="s">
        <x:v>686</x:v>
      </x:c>
      <x:c r="B13" s="6" t="s">
        <x:v>687</x:v>
      </x:c>
      <x:c r="C13" s="6" t="s">
        <x:v>688</x:v>
      </x:c>
      <x:c r="D13" s="7" t="str">
        <x:v>Resolved</x:v>
      </x:c>
      <x:c r="E13" s="6" t="str">
        <x:v>Resolved in current backend: new_session() and new_event() now return explicit 403 errors for non-coordinators.</x:v>
      </x:c>
      <x:c r="F13" s="6" t="str">
        <x:v>No workbook action needed beyond retaining authorization negative tests.</x:v>
      </x:c>
    </x:row>
    <x:row r="14" ht="21.649999618530273" hidden="0">
      <x:c r="A14" s="5" t="s">
        <x:v>689</x:v>
      </x:c>
      <x:c r="B14" s="5" t="s">
        <x:v>265</x:v>
      </x:c>
      <x:c r="C14" s="5" t="s">
        <x:v>262</x:v>
      </x:c>
      <x:c r="D14" s="7" t="str">
        <x:v>Resolved (Duplicate)</x:v>
      </x:c>
      <x:c r="E14" s="5" t="str">
        <x:v>Duplicate of DEF-010; malformed group strings are already handled safely in the current backend.</x:v>
      </x:c>
      <x:c r="F14" s="5" t="str">
        <x:v>Remove or merge this duplicate defect in future workbook revisions.</x:v>
      </x:c>
    </x:row>
    <x:row r="15" ht="21.649999618530273" hidden="0">
      <x:c r="A15" s="6" t="s">
        <x:v>690</x:v>
      </x:c>
      <x:c r="B15" s="6" t="s">
        <x:v>691</x:v>
      </x:c>
      <x:c r="C15" s="6" t="s">
        <x:v>692</x:v>
      </x:c>
      <x:c r="D15" s="7" t="str">
        <x:v>Low</x:v>
      </x:c>
      <x:c r="E15" s="6" t="str">
        <x:v>Still partially open: legacy file-required constraints rely on low-level failures and do not always surface friendly validation messages.</x:v>
      </x:c>
      <x:c r="F15" s="6" t="str">
        <x:v>Add explicit form/view validation with clear user-facing messages for missing files.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1" workbookViewId="0"/>
  </x:sheetViews>
  <x:sheetFormatPr defaultColWidth="8.54296875" defaultRowHeight="15"/>
  <x:cols>
    <x:col min="1" max="1" width="12" hidden="0" customWidth="1"/>
    <x:col min="2" max="2" width="14" hidden="0" customWidth="1"/>
    <x:col min="3" max="3" width="12" hidden="0" customWidth="1"/>
    <x:col min="4" max="6" width="8" hidden="0" customWidth="1"/>
    <x:col min="7" max="7" width="25" hidden="0" customWidth="1"/>
    <x:col min="8" max="8" width="50" hidden="0" customWidth="1"/>
  </x:cols>
  <x:sheetData>
    <x:row r="1" ht="15" hidden="0">
      <x:c r="A1" s="2" t="s">
        <x:v>693</x:v>
      </x:c>
      <x:c r="B1" s="2" t="s">
        <x:v>694</x:v>
      </x:c>
      <x:c r="C1" s="2" t="s">
        <x:v>695</x:v>
      </x:c>
      <x:c r="D1" s="2" t="s">
        <x:v>420</x:v>
      </x:c>
      <x:c r="E1" s="2" t="s">
        <x:v>490</x:v>
      </x:c>
      <x:c r="F1" s="2" t="s">
        <x:v>480</x:v>
      </x:c>
      <x:c r="G1" s="2" t="s">
        <x:v>696</x:v>
      </x:c>
      <x:c r="H1" s="2" t="s">
        <x:v>697</x:v>
      </x:c>
    </x:row>
    <x:row r="2" ht="15" hidden="0">
      <x:c r="A2" s="5" t="s">
        <x:v>33</x:v>
      </x:c>
      <x:c r="B2" s="5" t="s">
        <x:v>698</x:v>
      </x:c>
      <x:c r="C2" s="5" t="n">
        <x:v>5</x:v>
      </x:c>
      <x:c r="D2" s="5" t="n">
        <x:v>4</x:v>
      </x:c>
      <x:c r="E2" s="5" t="n">
        <x:v>0</x:v>
      </x:c>
      <x:c r="F2" s="5" t="n">
        <x:v>1</x:v>
      </x:c>
      <x:c r="G2" s="12" t="s">
        <x:v>699</x:v>
      </x:c>
      <x:c r="H2" s="5" t="s">
        <x:v>700</x:v>
      </x:c>
    </x:row>
    <x:row r="3" ht="21.649999618530273" hidden="0">
      <x:c r="A3" s="6" t="s">
        <x:v>58</x:v>
      </x:c>
      <x:c r="B3" s="6" t="s">
        <x:v>698</x:v>
      </x:c>
      <x:c r="C3" s="6" t="n">
        <x:v>5</x:v>
      </x:c>
      <x:c r="D3" s="6" t="n">
        <x:v>5</x:v>
      </x:c>
      <x:c r="E3" s="6" t="n">
        <x:v>0</x:v>
      </x:c>
      <x:c r="F3" s="6" t="n">
        <x:v>0</x:v>
      </x:c>
      <x:c r="G3" s="12" t="str">
        <x:v>Implemented Correctly</x:v>
      </x:c>
      <x:c r="H3" s="6" t="str">
        <x:v>Legacy session flow now rejects reversed/equal times and returns explicit 403 errors for non-coordinators</x:v>
      </x:c>
    </x:row>
    <x:row r="4" ht="15" hidden="0">
      <x:c r="A4" s="5" t="s">
        <x:v>70</x:v>
      </x:c>
      <x:c r="B4" s="5" t="s">
        <x:v>698</x:v>
      </x:c>
      <x:c r="C4" s="5" t="n">
        <x:v>3</x:v>
      </x:c>
      <x:c r="D4" s="5" t="n">
        <x:v>3</x:v>
      </x:c>
      <x:c r="E4" s="5" t="n">
        <x:v>0</x:v>
      </x:c>
      <x:c r="F4" s="5" t="n">
        <x:v>0</x:v>
      </x:c>
      <x:c r="G4" s="12" t="str">
        <x:v>Implemented Correctly</x:v>
      </x:c>
      <x:c r="H4" s="5" t="str">
        <x:v>Event booking now returns explicit 403 errors for non-coordinators; conflict handling remains correct</x:v>
      </x:c>
    </x:row>
    <x:row r="5" ht="15" hidden="0">
      <x:c r="A5" s="6" t="s">
        <x:v>82</x:v>
      </x:c>
      <x:c r="B5" s="6" t="s">
        <x:v>698</x:v>
      </x:c>
      <x:c r="C5" s="6" t="n">
        <x:v>3</x:v>
      </x:c>
      <x:c r="D5" s="6" t="n">
        <x:v>3</x:v>
      </x:c>
      <x:c r="E5" s="6" t="n">
        <x:v>0</x:v>
      </x:c>
      <x:c r="F5" s="6" t="n">
        <x:v>0</x:v>
      </x:c>
      <x:c r="G5" s="13" t="s">
        <x:v>701</x:v>
      </x:c>
      <x:c r="H5" s="6" t="s">
        <x:v>702</x:v>
      </x:c>
    </x:row>
    <x:row r="6" ht="15" hidden="0">
      <x:c r="A6" s="5" t="s">
        <x:v>98</x:v>
      </x:c>
      <x:c r="B6" s="5" t="s">
        <x:v>698</x:v>
      </x:c>
      <x:c r="C6" s="5" t="n">
        <x:v>3</x:v>
      </x:c>
      <x:c r="D6" s="5" t="n">
        <x:v>3</x:v>
      </x:c>
      <x:c r="E6" s="5" t="n">
        <x:v>0</x:v>
      </x:c>
      <x:c r="F6" s="5" t="n">
        <x:v>0</x:v>
      </x:c>
      <x:c r="G6" s="12" t="str">
        <x:v>Implemented Correctly</x:v>
      </x:c>
      <x:c r="H6" s="5" t="str">
        <x:v>Approval flow now has a coordinator auth guard and transaction.atomic protection</x:v>
      </x:c>
    </x:row>
    <x:row r="7" ht="21.649999618530273" hidden="0">
      <x:c r="A7" s="6" t="s">
        <x:v>113</x:v>
      </x:c>
      <x:c r="B7" s="6" t="s">
        <x:v>698</x:v>
      </x:c>
      <x:c r="C7" s="6" t="n">
        <x:v>3</x:v>
      </x:c>
      <x:c r="D7" s="6" t="n">
        <x:v>3</x:v>
      </x:c>
      <x:c r="E7" s="6" t="n">
        <x:v>0</x:v>
      </x:c>
      <x:c r="F7" s="6" t="n">
        <x:v>0</x:v>
      </x:c>
      <x:c r="G7" s="12" t="str">
        <x:v>Implemented Correctly</x:v>
      </x:c>
      <x:c r="H7" s="6" t="str">
        <x:v>Poll creation now requires coordinator auth and enforces a minimum of 2 choices</x:v>
      </x:c>
    </x:row>
    <x:row r="8" ht="15" hidden="0">
      <x:c r="A8" s="5" t="s">
        <x:v>125</x:v>
      </x:c>
      <x:c r="B8" s="5" t="s">
        <x:v>698</x:v>
      </x:c>
      <x:c r="C8" s="5" t="n">
        <x:v>4</x:v>
      </x:c>
      <x:c r="D8" s="5" t="n">
        <x:v>4</x:v>
      </x:c>
      <x:c r="E8" s="5" t="n">
        <x:v>0</x:v>
      </x:c>
      <x:c r="F8" s="5" t="n">
        <x:v>0</x:v>
      </x:c>
      <x:c r="G8" s="12" t="str">
        <x:v>Implemented Correctly</x:v>
      </x:c>
      <x:c r="H8" s="5" t="str">
        <x:v>Voting now enforces target-group eligibility before accepting a vote</x:v>
      </x:c>
    </x:row>
    <x:row r="9" ht="15" hidden="0">
      <x:c r="A9" s="6" t="s">
        <x:v>140</x:v>
      </x:c>
      <x:c r="B9" s="6" t="s">
        <x:v>698</x:v>
      </x:c>
      <x:c r="C9" s="6" t="n">
        <x:v>3</x:v>
      </x:c>
      <x:c r="D9" s="6" t="n">
        <x:v>3</x:v>
      </x:c>
      <x:c r="E9" s="6" t="n">
        <x:v>0</x:v>
      </x:c>
      <x:c r="F9" s="6" t="n">
        <x:v>0</x:v>
      </x:c>
      <x:c r="G9" s="12" t="str">
        <x:v>Implemented Correctly</x:v>
      </x:c>
      <x:c r="H9" s="6" t="str">
        <x:v>Leadership change now rejects non-coordinators explicitly</x:v>
      </x:c>
    </x:row>
    <x:row r="10" ht="15" hidden="0">
      <x:c r="A10" s="5" t="s">
        <x:v>155</x:v>
      </x:c>
      <x:c r="B10" s="5" t="s">
        <x:v>698</x:v>
      </x:c>
      <x:c r="C10" s="5" t="n">
        <x:v>3</x:v>
      </x:c>
      <x:c r="D10" s="5" t="n">
        <x:v>2</x:v>
      </x:c>
      <x:c r="E10" s="5" t="n">
        <x:v>1</x:v>
      </x:c>
      <x:c r="F10" s="5" t="n">
        <x:v>0</x:v>
      </x:c>
      <x:c r="G10" s="13" t="str">
        <x:v>Partially Implemented</x:v>
      </x:c>
      <x:c r="H10" s="5" t="str">
        <x:v>Valid and zero-amount budget requests work, but missing-file handling still lacks friendly validation</x:v>
      </x:c>
    </x:row>
    <x:row r="11" ht="15" hidden="0">
      <x:c r="A11" s="6" t="s">
        <x:v>167</x:v>
      </x:c>
      <x:c r="B11" s="6" t="s">
        <x:v>698</x:v>
      </x:c>
      <x:c r="C11" s="6" t="n">
        <x:v>3</x:v>
      </x:c>
      <x:c r="D11" s="6" t="n">
        <x:v>2</x:v>
      </x:c>
      <x:c r="E11" s="6" t="n">
        <x:v>1</x:v>
      </x:c>
      <x:c r="F11" s="6" t="n">
        <x:v>0</x:v>
      </x:c>
      <x:c r="G11" s="12" t="s">
        <x:v>699</x:v>
      </x:c>
      <x:c r="H11" s="6" t="s">
        <x:v>703</x:v>
      </x:c>
    </x:row>
    <x:row r="12" ht="15" hidden="0">
      <x:c r="A12" s="5" t="s">
        <x:v>198</x:v>
      </x:c>
      <x:c r="B12" s="5" t="s">
        <x:v>704</x:v>
      </x:c>
      <x:c r="C12" s="5" t="n">
        <x:v>2</x:v>
      </x:c>
      <x:c r="D12" s="5" t="n">
        <x:v>2</x:v>
      </x:c>
      <x:c r="E12" s="5" t="n">
        <x:v>0</x:v>
      </x:c>
      <x:c r="F12" s="5" t="n">
        <x:v>0</x:v>
      </x:c>
      <x:c r="G12" s="13" t="s">
        <x:v>705</x:v>
      </x:c>
      <x:c r="H12" s="5" t="s">
        <x:v>706</x:v>
      </x:c>
    </x:row>
    <x:row r="13" ht="15" hidden="0">
      <x:c r="A13" s="6" t="s">
        <x:v>207</x:v>
      </x:c>
      <x:c r="B13" s="6" t="s">
        <x:v>704</x:v>
      </x:c>
      <x:c r="C13" s="6" t="n">
        <x:v>2</x:v>
      </x:c>
      <x:c r="D13" s="6" t="n">
        <x:v>2</x:v>
      </x:c>
      <x:c r="E13" s="6" t="n">
        <x:v>0</x:v>
      </x:c>
      <x:c r="F13" s="6" t="n">
        <x:v>0</x:v>
      </x:c>
      <x:c r="G13" s="13" t="s">
        <x:v>705</x:v>
      </x:c>
      <x:c r="H13" s="6" t="s">
        <x:v>707</x:v>
      </x:c>
    </x:row>
    <x:row r="14" ht="15" hidden="0">
      <x:c r="A14" s="5" t="s">
        <x:v>213</x:v>
      </x:c>
      <x:c r="B14" s="5" t="s">
        <x:v>704</x:v>
      </x:c>
      <x:c r="C14" s="5" t="n">
        <x:v>4</x:v>
      </x:c>
      <x:c r="D14" s="5" t="n">
        <x:v>4</x:v>
      </x:c>
      <x:c r="E14" s="5" t="n">
        <x:v>0</x:v>
      </x:c>
      <x:c r="F14" s="5" t="n">
        <x:v>0</x:v>
      </x:c>
      <x:c r="G14" s="13" t="s">
        <x:v>705</x:v>
      </x:c>
      <x:c r="H14" s="5" t="s">
        <x:v>708</x:v>
      </x:c>
    </x:row>
    <x:row r="15" ht="15" hidden="0">
      <x:c r="A15" s="6" t="s">
        <x:v>222</x:v>
      </x:c>
      <x:c r="B15" s="6" t="s">
        <x:v>704</x:v>
      </x:c>
      <x:c r="C15" s="6" t="n">
        <x:v>2</x:v>
      </x:c>
      <x:c r="D15" s="6" t="n">
        <x:v>2</x:v>
      </x:c>
      <x:c r="E15" s="6" t="n">
        <x:v>0</x:v>
      </x:c>
      <x:c r="F15" s="6" t="n">
        <x:v>0</x:v>
      </x:c>
      <x:c r="G15" s="12" t="str">
        <x:v>Enforced Correctly</x:v>
      </x:c>
      <x:c r="H15" s="6" t="str">
        <x:v>Valid ranges are accepted; reversed/equal ranges are rejected</x:v>
      </x:c>
    </x:row>
    <x:row r="16" ht="15" hidden="0">
      <x:c r="A16" s="5" t="s">
        <x:v>229</x:v>
      </x:c>
      <x:c r="B16" s="5" t="s">
        <x:v>704</x:v>
      </x:c>
      <x:c r="C16" s="5" t="n">
        <x:v>2</x:v>
      </x:c>
      <x:c r="D16" s="5" t="n">
        <x:v>2</x:v>
      </x:c>
      <x:c r="E16" s="5" t="n">
        <x:v>0</x:v>
      </x:c>
      <x:c r="F16" s="5" t="n">
        <x:v>0</x:v>
      </x:c>
      <x:c r="G16" s="13" t="s">
        <x:v>705</x:v>
      </x:c>
      <x:c r="H16" s="5" t="s">
        <x:v>709</x:v>
      </x:c>
    </x:row>
    <x:row r="17" ht="15" hidden="0">
      <x:c r="A17" s="6" t="s">
        <x:v>236</x:v>
      </x:c>
      <x:c r="B17" s="6" t="s">
        <x:v>704</x:v>
      </x:c>
      <x:c r="C17" s="6" t="n">
        <x:v>2</x:v>
      </x:c>
      <x:c r="D17" s="6" t="n">
        <x:v>2</x:v>
      </x:c>
      <x:c r="E17" s="6" t="n">
        <x:v>0</x:v>
      </x:c>
      <x:c r="F17" s="6" t="n">
        <x:v>0</x:v>
      </x:c>
      <x:c r="G17" s="13" t="s">
        <x:v>705</x:v>
      </x:c>
      <x:c r="H17" s="6" t="s">
        <x:v>710</x:v>
      </x:c>
    </x:row>
    <x:row r="18" ht="15" hidden="0">
      <x:c r="A18" s="5" t="s">
        <x:v>243</x:v>
      </x:c>
      <x:c r="B18" s="5" t="s">
        <x:v>704</x:v>
      </x:c>
      <x:c r="C18" s="5" t="n">
        <x:v>2</x:v>
      </x:c>
      <x:c r="D18" s="5" t="n">
        <x:v>2</x:v>
      </x:c>
      <x:c r="E18" s="5" t="n">
        <x:v>0</x:v>
      </x:c>
      <x:c r="F18" s="5" t="n">
        <x:v>0</x:v>
      </x:c>
      <x:c r="G18" s="12" t="str">
        <x:v>Enforced Correctly</x:v>
      </x:c>
      <x:c r="H18" s="5" t="str">
        <x:v>approve() now blocks non-coordinators with an explicit 403 response</x:v>
      </x:c>
    </x:row>
    <x:row r="19" ht="15" hidden="0">
      <x:c r="A19" s="6" t="s">
        <x:v>249</x:v>
      </x:c>
      <x:c r="B19" s="6" t="s">
        <x:v>704</x:v>
      </x:c>
      <x:c r="C19" s="6" t="n">
        <x:v>2</x:v>
      </x:c>
      <x:c r="D19" s="6" t="n">
        <x:v>2</x:v>
      </x:c>
      <x:c r="E19" s="6" t="n">
        <x:v>0</x:v>
      </x:c>
      <x:c r="F19" s="6" t="n">
        <x:v>0</x:v>
      </x:c>
      <x:c r="G19" s="13" t="s">
        <x:v>705</x:v>
      </x:c>
      <x:c r="H19" s="6" t="s">
        <x:v>711</x:v>
      </x:c>
    </x:row>
    <x:row r="20" ht="15" hidden="0">
      <x:c r="A20" s="5" t="s">
        <x:v>256</x:v>
      </x:c>
      <x:c r="B20" s="5" t="s">
        <x:v>704</x:v>
      </x:c>
      <x:c r="C20" s="5" t="n">
        <x:v>2</x:v>
      </x:c>
      <x:c r="D20" s="5" t="n">
        <x:v>2</x:v>
      </x:c>
      <x:c r="E20" s="5" t="n">
        <x:v>0</x:v>
      </x:c>
      <x:c r="F20" s="5" t="n">
        <x:v>0</x:v>
      </x:c>
      <x:c r="G20" s="12" t="str">
        <x:v>Enforced Correctly</x:v>
      </x:c>
      <x:c r="H20" s="5" t="str">
        <x:v>Backend now enforces the minimum-2-choices rule for polls</x:v>
      </x:c>
    </x:row>
    <x:row r="21" ht="15" hidden="0">
      <x:c r="A21" s="6" t="s">
        <x:v>262</x:v>
      </x:c>
      <x:c r="B21" s="6" t="s">
        <x:v>704</x:v>
      </x:c>
      <x:c r="C21" s="6" t="n">
        <x:v>2</x:v>
      </x:c>
      <x:c r="D21" s="6" t="n">
        <x:v>2</x:v>
      </x:c>
      <x:c r="E21" s="6" t="n">
        <x:v>0</x:v>
      </x:c>
      <x:c r="F21" s="6" t="n">
        <x:v>0</x:v>
      </x:c>
      <x:c r="G21" s="12" t="str">
        <x:v>Enforced Correctly</x:v>
      </x:c>
      <x:c r="H21" s="6" t="str">
        <x:v>Malformed group entries are skipped safely during target JSON generation</x:v>
      </x:c>
    </x:row>
    <x:row r="22" ht="15" hidden="0">
      <x:c r="A22" s="5" t="s">
        <x:v>268</x:v>
      </x:c>
      <x:c r="B22" s="5" t="s">
        <x:v>704</x:v>
      </x:c>
      <x:c r="C22" s="5" t="n">
        <x:v>2</x:v>
      </x:c>
      <x:c r="D22" s="5" t="n">
        <x:v>2</x:v>
      </x:c>
      <x:c r="E22" s="5" t="n">
        <x:v>0</x:v>
      </x:c>
      <x:c r="F22" s="5" t="n">
        <x:v>0</x:v>
      </x:c>
      <x:c r="G22" s="13" t="s">
        <x:v>705</x:v>
      </x:c>
      <x:c r="H22" s="5" t="s">
        <x:v>712</x:v>
      </x:c>
    </x:row>
    <x:row r="23" ht="15" hidden="0">
      <x:c r="A23" s="6" t="s">
        <x:v>275</x:v>
      </x:c>
      <x:c r="B23" s="6" t="s">
        <x:v>704</x:v>
      </x:c>
      <x:c r="C23" s="6" t="n">
        <x:v>2</x:v>
      </x:c>
      <x:c r="D23" s="6" t="n">
        <x:v>2</x:v>
      </x:c>
      <x:c r="E23" s="6" t="n">
        <x:v>0</x:v>
      </x:c>
      <x:c r="F23" s="6" t="n">
        <x:v>0</x:v>
      </x:c>
      <x:c r="G23" s="12" t="str">
        <x:v>Enforced Correctly</x:v>
      </x:c>
      <x:c r="H23" s="6" t="str">
        <x:v>vote() now uses an atomic F() increment for the vote counter</x:v>
      </x:c>
    </x:row>
    <x:row r="24" ht="15" hidden="0">
      <x:c r="A24" s="5" t="s">
        <x:v>281</x:v>
      </x:c>
      <x:c r="B24" s="5" t="s">
        <x:v>704</x:v>
      </x:c>
      <x:c r="C24" s="5" t="n">
        <x:v>2</x:v>
      </x:c>
      <x:c r="D24" s="5" t="n">
        <x:v>2</x:v>
      </x:c>
      <x:c r="E24" s="5" t="n">
        <x:v>0</x:v>
      </x:c>
      <x:c r="F24" s="5" t="n">
        <x:v>0</x:v>
      </x:c>
      <x:c r="G24" s="13" t="s">
        <x:v>705</x:v>
      </x:c>
      <x:c r="H24" s="5" t="s">
        <x:v>713</x:v>
      </x:c>
    </x:row>
    <x:row r="25" ht="15" hidden="0">
      <x:c r="A25" s="6" t="s">
        <x:v>288</x:v>
      </x:c>
      <x:c r="B25" s="6" t="s">
        <x:v>704</x:v>
      </x:c>
      <x:c r="C25" s="6" t="n">
        <x:v>2</x:v>
      </x:c>
      <x:c r="D25" s="6" t="n">
        <x:v>2</x:v>
      </x:c>
      <x:c r="E25" s="6" t="n">
        <x:v>0</x:v>
      </x:c>
      <x:c r="F25" s="6" t="n">
        <x:v>0</x:v>
      </x:c>
      <x:c r="G25" s="13" t="s">
        <x:v>705</x:v>
      </x:c>
      <x:c r="H25" s="6" t="s">
        <x:v>714</x:v>
      </x:c>
    </x:row>
    <x:row r="26" ht="15" hidden="0">
      <x:c r="A26" s="5" t="s">
        <x:v>295</x:v>
      </x:c>
      <x:c r="B26" s="5" t="s">
        <x:v>704</x:v>
      </x:c>
      <x:c r="C26" s="5" t="n">
        <x:v>3</x:v>
      </x:c>
      <x:c r="D26" s="5" t="n">
        <x:v>2</x:v>
      </x:c>
      <x:c r="E26" s="5" t="n">
        <x:v>0</x:v>
      </x:c>
      <x:c r="F26" s="5" t="n">
        <x:v>1</x:v>
      </x:c>
      <x:c r="G26" s="12" t="str">
        <x:v>Partially Enforced</x:v>
      </x:c>
      <x:c r="H26" s="5" t="str">
        <x:v>Model validators exist, but the legacy budget flow can still save negative amounts without full_clean()</x:v>
      </x:c>
    </x:row>
    <x:row r="27" ht="15" hidden="0">
      <x:c r="A27" s="6" t="s">
        <x:v>304</x:v>
      </x:c>
      <x:c r="B27" s="6" t="s">
        <x:v>704</x:v>
      </x:c>
      <x:c r="C27" s="6" t="n">
        <x:v>2</x:v>
      </x:c>
      <x:c r="D27" s="6" t="n">
        <x:v>1</x:v>
      </x:c>
      <x:c r="E27" s="6" t="n">
        <x:v>1</x:v>
      </x:c>
      <x:c r="F27" s="6" t="n">
        <x:v>0</x:v>
      </x:c>
      <x:c r="G27" s="12" t="s">
        <x:v>715</x:v>
      </x:c>
      <x:c r="H27" s="6" t="s">
        <x:v>716</x:v>
      </x:c>
    </x:row>
    <x:row r="28" ht="15" hidden="0">
      <x:c r="A28" s="5" t="s">
        <x:v>311</x:v>
      </x:c>
      <x:c r="B28" s="5" t="s">
        <x:v>704</x:v>
      </x:c>
      <x:c r="C28" s="5" t="n">
        <x:v>2</x:v>
      </x:c>
      <x:c r="D28" s="5" t="n">
        <x:v>1</x:v>
      </x:c>
      <x:c r="E28" s="5" t="n">
        <x:v>1</x:v>
      </x:c>
      <x:c r="F28" s="5" t="n">
        <x:v>0</x:v>
      </x:c>
      <x:c r="G28" s="12" t="s">
        <x:v>715</x:v>
      </x:c>
      <x:c r="H28" s="5" t="s">
        <x:v>716</x:v>
      </x:c>
    </x:row>
    <x:row r="29" ht="15" hidden="0">
      <x:c r="A29" s="6" t="s">
        <x:v>318</x:v>
      </x:c>
      <x:c r="B29" s="6" t="s">
        <x:v>704</x:v>
      </x:c>
      <x:c r="C29" s="6" t="n">
        <x:v>2</x:v>
      </x:c>
      <x:c r="D29" s="6" t="n">
        <x:v>2</x:v>
      </x:c>
      <x:c r="E29" s="6" t="n">
        <x:v>0</x:v>
      </x:c>
      <x:c r="F29" s="6" t="n">
        <x:v>0</x:v>
      </x:c>
      <x:c r="G29" s="12" t="str">
        <x:v>Enforced Correctly</x:v>
      </x:c>
      <x:c r="H29" s="6" t="str">
        <x:v>Missing time is now rejected before report creation</x:v>
      </x:c>
    </x:row>
    <x:row r="30" ht="15" hidden="0">
      <x:c r="A30" s="5" t="s">
        <x:v>324</x:v>
      </x:c>
      <x:c r="B30" s="5" t="s">
        <x:v>704</x:v>
      </x:c>
      <x:c r="C30" s="5" t="n">
        <x:v>2</x:v>
      </x:c>
      <x:c r="D30" s="5" t="n">
        <x:v>1</x:v>
      </x:c>
      <x:c r="E30" s="5" t="n">
        <x:v>1</x:v>
      </x:c>
      <x:c r="F30" s="5" t="n">
        <x:v>0</x:v>
      </x:c>
      <x:c r="G30" s="12" t="s">
        <x:v>715</x:v>
      </x:c>
      <x:c r="H30" s="5" t="s">
        <x:v>717</x:v>
      </x:c>
    </x:row>
    <x:row r="31" ht="15" hidden="0">
      <x:c r="A31" s="6" t="s">
        <x:v>331</x:v>
      </x:c>
      <x:c r="B31" s="6" t="s">
        <x:v>704</x:v>
      </x:c>
      <x:c r="C31" s="6" t="n">
        <x:v>2</x:v>
      </x:c>
      <x:c r="D31" s="6" t="n">
        <x:v>1</x:v>
      </x:c>
      <x:c r="E31" s="6" t="n">
        <x:v>1</x:v>
      </x:c>
      <x:c r="F31" s="6" t="n">
        <x:v>0</x:v>
      </x:c>
      <x:c r="G31" s="12" t="s">
        <x:v>715</x:v>
      </x:c>
      <x:c r="H31" s="6" t="s">
        <x:v>717</x:v>
      </x:c>
    </x:row>
    <x:row r="32" ht="15" hidden="0">
      <x:c r="A32" s="5" t="s">
        <x:v>338</x:v>
      </x:c>
      <x:c r="B32" s="5" t="s">
        <x:v>704</x:v>
      </x:c>
      <x:c r="C32" s="5" t="n">
        <x:v>2</x:v>
      </x:c>
      <x:c r="D32" s="5" t="n">
        <x:v>2</x:v>
      </x:c>
      <x:c r="E32" s="5" t="n">
        <x:v>0</x:v>
      </x:c>
      <x:c r="F32" s="5" t="n">
        <x:v>0</x:v>
      </x:c>
      <x:c r="G32" s="13" t="s">
        <x:v>705</x:v>
      </x:c>
      <x:c r="H32" s="5" t="s">
        <x:v>718</x:v>
      </x:c>
    </x:row>
    <x:row r="33" ht="15" hidden="0">
      <x:c r="A33" s="6" t="s">
        <x:v>345</x:v>
      </x:c>
      <x:c r="B33" s="6" t="s">
        <x:v>704</x:v>
      </x:c>
      <x:c r="C33" s="6" t="n">
        <x:v>2</x:v>
      </x:c>
      <x:c r="D33" s="6" t="n">
        <x:v>2</x:v>
      </x:c>
      <x:c r="E33" s="6" t="n">
        <x:v>0</x:v>
      </x:c>
      <x:c r="F33" s="6" t="n">
        <x:v>0</x:v>
      </x:c>
      <x:c r="G33" s="13" t="s">
        <x:v>705</x:v>
      </x:c>
      <x:c r="H33" s="6" t="s">
        <x:v>719</x:v>
      </x:c>
    </x:row>
    <x:row r="34" ht="15" hidden="0">
      <x:c r="A34" s="5" t="s">
        <x:v>354</x:v>
      </x:c>
      <x:c r="B34" s="5" t="s">
        <x:v>720</x:v>
      </x:c>
      <x:c r="C34" s="5" t="n">
        <x:v>3</x:v>
      </x:c>
      <x:c r="D34" s="5" t="n">
        <x:v>3</x:v>
      </x:c>
      <x:c r="E34" s="5" t="n">
        <x:v>0</x:v>
      </x:c>
      <x:c r="F34" s="5" t="n">
        <x:v>0</x:v>
      </x:c>
      <x:c r="G34" s="13" t="s">
        <x:v>721</x:v>
      </x:c>
      <x:c r="H34" s="5" t="s">
        <x:v>722</x:v>
      </x:c>
    </x:row>
    <x:row r="35" ht="15" hidden="0">
      <x:c r="A35" s="6" t="s">
        <x:v>366</x:v>
      </x:c>
      <x:c r="B35" s="6" t="s">
        <x:v>720</x:v>
      </x:c>
      <x:c r="C35" s="6" t="n">
        <x:v>3</x:v>
      </x:c>
      <x:c r="D35" s="6" t="n">
        <x:v>3</x:v>
      </x:c>
      <x:c r="E35" s="6" t="n">
        <x:v>0</x:v>
      </x:c>
      <x:c r="F35" s="6" t="n">
        <x:v>0</x:v>
      </x:c>
      <x:c r="G35" s="12" t="str">
        <x:v>Complete</x:v>
      </x:c>
      <x:c r="H35" s="6" t="str">
        <x:v>Session booking now handles conflicts and invalid reversed/equal-time cases correctly</x:v>
      </x:c>
    </x:row>
    <x:row r="36" ht="15" hidden="0">
      <x:c r="A36" s="5" t="s">
        <x:v>376</x:v>
      </x:c>
      <x:c r="B36" s="5" t="s">
        <x:v>720</x:v>
      </x:c>
      <x:c r="C36" s="5" t="n">
        <x:v>2</x:v>
      </x:c>
      <x:c r="D36" s="5" t="n">
        <x:v>1</x:v>
      </x:c>
      <x:c r="E36" s="5" t="n">
        <x:v>1</x:v>
      </x:c>
      <x:c r="F36" s="5" t="n">
        <x:v>0</x:v>
      </x:c>
      <x:c r="G36" s="12" t="s">
        <x:v>490</x:v>
      </x:c>
      <x:c r="H36" s="5" t="s">
        <x:v>723</x:v>
      </x:c>
    </x:row>
    <x:row r="37" ht="15" hidden="0">
      <x:c r="A37" s="6" t="s">
        <x:v>383</x:v>
      </x:c>
      <x:c r="B37" s="6" t="s">
        <x:v>720</x:v>
      </x:c>
      <x:c r="C37" s="6" t="n">
        <x:v>2</x:v>
      </x:c>
      <x:c r="D37" s="6" t="n">
        <x:v>2</x:v>
      </x:c>
      <x:c r="E37" s="6" t="n">
        <x:v>0</x:v>
      </x:c>
      <x:c r="F37" s="6" t="n">
        <x:v>0</x:v>
      </x:c>
      <x:c r="G37" s="12" t="str">
        <x:v>Complete</x:v>
      </x:c>
      <x:c r="H37" s="6" t="str">
        <x:v>approve() now runs inside transaction.atomic and includes a coordinator auth guard</x:v>
      </x:c>
    </x:row>
    <x:row r="38" ht="15" hidden="0">
      <x:c r="A38" s="5" t="s">
        <x:v>389</x:v>
      </x:c>
      <x:c r="B38" s="5" t="s">
        <x:v>720</x:v>
      </x:c>
      <x:c r="C38" s="5" t="n">
        <x:v>2</x:v>
      </x:c>
      <x:c r="D38" s="5" t="n">
        <x:v>2</x:v>
      </x:c>
      <x:c r="E38" s="5" t="n">
        <x:v>0</x:v>
      </x:c>
      <x:c r="F38" s="5" t="n">
        <x:v>0</x:v>
      </x:c>
      <x:c r="G38" s="12" t="str">
        <x:v>Complete</x:v>
      </x:c>
      <x:c r="H38" s="5" t="str">
        <x:v>Poll creation now tolerates malformed group strings by skipping bad entries</x:v>
      </x:c>
    </x:row>
    <x:row r="39" ht="15" hidden="0">
      <x:c r="A39" s="6" t="s">
        <x:v>395</x:v>
      </x:c>
      <x:c r="B39" s="6" t="s">
        <x:v>720</x:v>
      </x:c>
      <x:c r="C39" s="6" t="n">
        <x:v>2</x:v>
      </x:c>
      <x:c r="D39" s="6" t="n">
        <x:v>2</x:v>
      </x:c>
      <x:c r="E39" s="6" t="n">
        <x:v>0</x:v>
      </x:c>
      <x:c r="F39" s="6" t="n">
        <x:v>0</x:v>
      </x:c>
      <x:c r="G39" s="13" t="s">
        <x:v>721</x:v>
      </x:c>
      <x:c r="H39" s="6" t="s">
        <x:v>724</x:v>
      </x:c>
    </x:row>
    <x:row r="40" ht="15" hidden="0">
      <x:c r="A40" s="5" t="s">
        <x:v>402</x:v>
      </x:c>
      <x:c r="B40" s="5" t="s">
        <x:v>720</x:v>
      </x:c>
      <x:c r="C40" s="5" t="n">
        <x:v>3</x:v>
      </x:c>
      <x:c r="D40" s="5" t="n">
        <x:v>3</x:v>
      </x:c>
      <x:c r="E40" s="5" t="n">
        <x:v>0</x:v>
      </x:c>
      <x:c r="F40" s="5" t="n">
        <x:v>0</x:v>
      </x:c>
      <x:c r="G40" s="13" t="s">
        <x:v>721</x:v>
      </x:c>
      <x:c r="H40" s="5" t="s">
        <x:v>725</x:v>
      </x:c>
    </x:row>
  </x:sheetData>
  <x:pageMargins left="0.7" right="0.7" top="0.75" bottom="0.75" header="0.3" footer="0.3"/>
</x:worksheet>
</file>